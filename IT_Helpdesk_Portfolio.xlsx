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19200" windowHeight="7180" activeTab="6"/>
  </bookViews>
  <sheets>
    <sheet name="SLA_Targets" sheetId="1" r:id="rId1"/>
    <sheet name="Agent_Master" sheetId="2" r:id="rId2"/>
    <sheet name="Raw_Data" sheetId="3" r:id="rId3"/>
    <sheet name="Clean_Tickets" sheetId="4" r:id="rId4"/>
    <sheet name="Project_Brief" sheetId="5" r:id="rId5"/>
    <sheet name="Analysis" sheetId="6" r:id="rId6"/>
    <sheet name="Dashboard" sheetId="7" r:id="rId7"/>
    <sheet name="Findings" sheetId="8" r:id="rId8"/>
  </sheets>
  <calcPr calcId="152511"/>
</workbook>
</file>

<file path=xl/calcChain.xml><?xml version="1.0" encoding="utf-8"?>
<calcChain xmlns="http://schemas.openxmlformats.org/spreadsheetml/2006/main">
  <c r="I89" i="6" l="1"/>
  <c r="H89" i="6"/>
  <c r="G89" i="6"/>
  <c r="F89" i="6"/>
  <c r="E89" i="6"/>
  <c r="D89" i="6"/>
  <c r="C89" i="6"/>
  <c r="B89" i="6"/>
  <c r="I88" i="6"/>
  <c r="H88" i="6"/>
  <c r="G88" i="6"/>
  <c r="F88" i="6"/>
  <c r="E88" i="6"/>
  <c r="D88" i="6"/>
  <c r="C88" i="6"/>
  <c r="B88" i="6"/>
  <c r="I87" i="6"/>
  <c r="H87" i="6"/>
  <c r="G87" i="6"/>
  <c r="F87" i="6"/>
  <c r="E87" i="6"/>
  <c r="D87" i="6"/>
  <c r="C87" i="6"/>
  <c r="B87" i="6"/>
  <c r="I86" i="6"/>
  <c r="H86" i="6"/>
  <c r="G86" i="6"/>
  <c r="F86" i="6"/>
  <c r="E86" i="6"/>
  <c r="D86" i="6"/>
  <c r="C86" i="6"/>
  <c r="B86" i="6"/>
  <c r="I85" i="6"/>
  <c r="H85" i="6"/>
  <c r="G85" i="6"/>
  <c r="F85" i="6"/>
  <c r="E85" i="6"/>
  <c r="D85" i="6"/>
  <c r="C85" i="6"/>
  <c r="B85" i="6"/>
  <c r="I84" i="6"/>
  <c r="H84" i="6"/>
  <c r="G84" i="6"/>
  <c r="F84" i="6"/>
  <c r="E84" i="6"/>
  <c r="D84" i="6"/>
  <c r="C84" i="6"/>
  <c r="B84" i="6"/>
  <c r="I83" i="6"/>
  <c r="H83" i="6"/>
  <c r="G83" i="6"/>
  <c r="F83" i="6"/>
  <c r="E83" i="6"/>
  <c r="D83" i="6"/>
  <c r="C83" i="6"/>
  <c r="B83" i="6"/>
  <c r="I82" i="6"/>
  <c r="H82" i="6"/>
  <c r="G82" i="6"/>
  <c r="F82" i="6"/>
  <c r="E82" i="6"/>
  <c r="D82" i="6"/>
  <c r="C82" i="6"/>
  <c r="B82" i="6"/>
  <c r="M77" i="6"/>
  <c r="L77" i="6"/>
  <c r="B77" i="6"/>
  <c r="M76" i="6"/>
  <c r="L76" i="6"/>
  <c r="B76" i="6"/>
  <c r="M75" i="6"/>
  <c r="L75" i="6"/>
  <c r="B75" i="6"/>
  <c r="M74" i="6"/>
  <c r="L74" i="6"/>
  <c r="B74" i="6"/>
  <c r="M73" i="6"/>
  <c r="L73" i="6"/>
  <c r="B73" i="6"/>
  <c r="M72" i="6"/>
  <c r="L72" i="6"/>
  <c r="B72" i="6"/>
  <c r="M71" i="6"/>
  <c r="L71" i="6"/>
  <c r="B71" i="6"/>
  <c r="M70" i="6"/>
  <c r="L70" i="6"/>
  <c r="B70" i="6"/>
  <c r="M69" i="6"/>
  <c r="L69" i="6"/>
  <c r="B69" i="6"/>
  <c r="M68" i="6"/>
  <c r="L68" i="6"/>
  <c r="B68" i="6"/>
  <c r="M67" i="6"/>
  <c r="L67" i="6"/>
  <c r="B67" i="6"/>
  <c r="M66" i="6"/>
  <c r="L66" i="6"/>
  <c r="B66" i="6"/>
  <c r="M61" i="6"/>
  <c r="L61" i="6"/>
  <c r="B61" i="6"/>
  <c r="M60" i="6"/>
  <c r="L60" i="6"/>
  <c r="B60" i="6"/>
  <c r="M59" i="6"/>
  <c r="L59" i="6"/>
  <c r="B59" i="6"/>
  <c r="M58" i="6"/>
  <c r="L58" i="6"/>
  <c r="B58" i="6"/>
  <c r="M53" i="6"/>
  <c r="L53" i="6"/>
  <c r="B53" i="6"/>
  <c r="M52" i="6"/>
  <c r="L52" i="6"/>
  <c r="B52" i="6"/>
  <c r="M51" i="6"/>
  <c r="L51" i="6"/>
  <c r="B51" i="6"/>
  <c r="M50" i="6"/>
  <c r="L50" i="6"/>
  <c r="B50" i="6"/>
  <c r="M45" i="6"/>
  <c r="L45" i="6"/>
  <c r="B45" i="6"/>
  <c r="M44" i="6"/>
  <c r="L44" i="6"/>
  <c r="B44" i="6"/>
  <c r="M43" i="6"/>
  <c r="L43" i="6"/>
  <c r="B43" i="6"/>
  <c r="M42" i="6"/>
  <c r="L42" i="6"/>
  <c r="B42" i="6"/>
  <c r="M41" i="6"/>
  <c r="L41" i="6"/>
  <c r="B41" i="6"/>
  <c r="M40" i="6"/>
  <c r="L40" i="6"/>
  <c r="B40" i="6"/>
  <c r="M39" i="6"/>
  <c r="L39" i="6"/>
  <c r="B39" i="6"/>
  <c r="M38" i="6"/>
  <c r="L38" i="6"/>
  <c r="B38" i="6"/>
  <c r="M33" i="6"/>
  <c r="L33" i="6"/>
  <c r="B33" i="6"/>
  <c r="M32" i="6"/>
  <c r="L32" i="6"/>
  <c r="B32" i="6"/>
  <c r="M31" i="6"/>
  <c r="L31" i="6"/>
  <c r="B31" i="6"/>
  <c r="M30" i="6"/>
  <c r="L30" i="6"/>
  <c r="B30" i="6"/>
  <c r="M29" i="6"/>
  <c r="L29" i="6"/>
  <c r="B29" i="6"/>
  <c r="M28" i="6"/>
  <c r="L28" i="6"/>
  <c r="B28" i="6"/>
  <c r="M27" i="6"/>
  <c r="L27" i="6"/>
  <c r="B27" i="6"/>
  <c r="M26" i="6"/>
  <c r="L26" i="6"/>
  <c r="B26" i="6"/>
  <c r="M21" i="6"/>
  <c r="L21" i="6"/>
  <c r="B21" i="6"/>
  <c r="M20" i="6"/>
  <c r="L20" i="6"/>
  <c r="B20" i="6"/>
  <c r="M19" i="6"/>
  <c r="L19" i="6"/>
  <c r="B19" i="6"/>
  <c r="O18" i="6"/>
  <c r="M18" i="6"/>
  <c r="L18" i="6"/>
  <c r="B18" i="6"/>
  <c r="O17" i="6"/>
  <c r="O16" i="6"/>
  <c r="O15" i="6"/>
  <c r="O11" i="6"/>
  <c r="B11" i="6"/>
  <c r="G5" i="7" s="1"/>
  <c r="O10" i="6"/>
  <c r="O9" i="6"/>
  <c r="O8" i="6"/>
  <c r="O7" i="6"/>
  <c r="B7" i="6"/>
  <c r="O6" i="6"/>
  <c r="B6" i="6"/>
  <c r="O5" i="6"/>
  <c r="B5" i="6"/>
  <c r="O4" i="6"/>
  <c r="B4" i="6"/>
  <c r="A5" i="7" s="1"/>
  <c r="W321" i="4"/>
  <c r="P321" i="4"/>
  <c r="O321" i="4"/>
  <c r="N321" i="4"/>
  <c r="R321" i="4" s="1"/>
  <c r="M321" i="4"/>
  <c r="Q321" i="4" s="1"/>
  <c r="W320" i="4"/>
  <c r="P320" i="4"/>
  <c r="O320" i="4"/>
  <c r="N320" i="4"/>
  <c r="R320" i="4" s="1"/>
  <c r="M320" i="4"/>
  <c r="Q320" i="4" s="1"/>
  <c r="W319" i="4"/>
  <c r="P319" i="4"/>
  <c r="O319" i="4"/>
  <c r="N319" i="4"/>
  <c r="R319" i="4" s="1"/>
  <c r="M319" i="4"/>
  <c r="Q319" i="4" s="1"/>
  <c r="W318" i="4"/>
  <c r="P318" i="4"/>
  <c r="O318" i="4"/>
  <c r="N318" i="4"/>
  <c r="R318" i="4" s="1"/>
  <c r="M318" i="4"/>
  <c r="Q318" i="4" s="1"/>
  <c r="W317" i="4"/>
  <c r="P317" i="4"/>
  <c r="O317" i="4"/>
  <c r="N317" i="4"/>
  <c r="R317" i="4" s="1"/>
  <c r="M317" i="4"/>
  <c r="Q317" i="4" s="1"/>
  <c r="W316" i="4"/>
  <c r="P316" i="4"/>
  <c r="O316" i="4"/>
  <c r="N316" i="4"/>
  <c r="R316" i="4" s="1"/>
  <c r="M316" i="4"/>
  <c r="Q316" i="4" s="1"/>
  <c r="W315" i="4"/>
  <c r="P315" i="4"/>
  <c r="O315" i="4"/>
  <c r="N315" i="4"/>
  <c r="R315" i="4" s="1"/>
  <c r="M315" i="4"/>
  <c r="Q315" i="4" s="1"/>
  <c r="W314" i="4"/>
  <c r="P314" i="4"/>
  <c r="O314" i="4"/>
  <c r="N314" i="4"/>
  <c r="R314" i="4" s="1"/>
  <c r="M314" i="4"/>
  <c r="Q314" i="4" s="1"/>
  <c r="W313" i="4"/>
  <c r="P313" i="4"/>
  <c r="O313" i="4"/>
  <c r="N313" i="4"/>
  <c r="R313" i="4" s="1"/>
  <c r="M313" i="4"/>
  <c r="Q313" i="4" s="1"/>
  <c r="W312" i="4"/>
  <c r="P312" i="4"/>
  <c r="O312" i="4"/>
  <c r="N312" i="4"/>
  <c r="R312" i="4" s="1"/>
  <c r="M312" i="4"/>
  <c r="Q312" i="4" s="1"/>
  <c r="W311" i="4"/>
  <c r="P311" i="4"/>
  <c r="O311" i="4"/>
  <c r="N311" i="4"/>
  <c r="R311" i="4" s="1"/>
  <c r="M311" i="4"/>
  <c r="Q311" i="4" s="1"/>
  <c r="W310" i="4"/>
  <c r="P310" i="4"/>
  <c r="O310" i="4"/>
  <c r="N310" i="4"/>
  <c r="R310" i="4" s="1"/>
  <c r="M310" i="4"/>
  <c r="Q310" i="4" s="1"/>
  <c r="W309" i="4"/>
  <c r="P309" i="4"/>
  <c r="O309" i="4"/>
  <c r="N309" i="4"/>
  <c r="R309" i="4" s="1"/>
  <c r="M309" i="4"/>
  <c r="Q309" i="4" s="1"/>
  <c r="W308" i="4"/>
  <c r="P308" i="4"/>
  <c r="O308" i="4"/>
  <c r="N308" i="4"/>
  <c r="R308" i="4" s="1"/>
  <c r="M308" i="4"/>
  <c r="Q308" i="4" s="1"/>
  <c r="W307" i="4"/>
  <c r="P307" i="4"/>
  <c r="O307" i="4"/>
  <c r="N307" i="4"/>
  <c r="R307" i="4" s="1"/>
  <c r="M307" i="4"/>
  <c r="Q307" i="4" s="1"/>
  <c r="W306" i="4"/>
  <c r="P306" i="4"/>
  <c r="O306" i="4"/>
  <c r="N306" i="4"/>
  <c r="R306" i="4" s="1"/>
  <c r="M306" i="4"/>
  <c r="Q306" i="4" s="1"/>
  <c r="W305" i="4"/>
  <c r="P305" i="4"/>
  <c r="O305" i="4"/>
  <c r="N305" i="4"/>
  <c r="R305" i="4" s="1"/>
  <c r="M305" i="4"/>
  <c r="Q305" i="4" s="1"/>
  <c r="W304" i="4"/>
  <c r="P304" i="4"/>
  <c r="O304" i="4"/>
  <c r="N304" i="4"/>
  <c r="R304" i="4" s="1"/>
  <c r="M304" i="4"/>
  <c r="Q304" i="4" s="1"/>
  <c r="W303" i="4"/>
  <c r="P303" i="4"/>
  <c r="O303" i="4"/>
  <c r="N303" i="4"/>
  <c r="R303" i="4" s="1"/>
  <c r="M303" i="4"/>
  <c r="Q303" i="4" s="1"/>
  <c r="W302" i="4"/>
  <c r="P302" i="4"/>
  <c r="O302" i="4"/>
  <c r="N302" i="4"/>
  <c r="R302" i="4" s="1"/>
  <c r="M302" i="4"/>
  <c r="Q302" i="4" s="1"/>
  <c r="W301" i="4"/>
  <c r="P301" i="4"/>
  <c r="O301" i="4"/>
  <c r="N301" i="4"/>
  <c r="R301" i="4" s="1"/>
  <c r="M301" i="4"/>
  <c r="Q301" i="4" s="1"/>
  <c r="W300" i="4"/>
  <c r="P300" i="4"/>
  <c r="O300" i="4"/>
  <c r="N300" i="4"/>
  <c r="R300" i="4" s="1"/>
  <c r="M300" i="4"/>
  <c r="Q300" i="4" s="1"/>
  <c r="W299" i="4"/>
  <c r="P299" i="4"/>
  <c r="O299" i="4"/>
  <c r="N299" i="4"/>
  <c r="R299" i="4" s="1"/>
  <c r="M299" i="4"/>
  <c r="Q299" i="4" s="1"/>
  <c r="W298" i="4"/>
  <c r="P298" i="4"/>
  <c r="O298" i="4"/>
  <c r="N298" i="4"/>
  <c r="R298" i="4" s="1"/>
  <c r="M298" i="4"/>
  <c r="Q298" i="4" s="1"/>
  <c r="W297" i="4"/>
  <c r="P297" i="4"/>
  <c r="O297" i="4"/>
  <c r="N297" i="4"/>
  <c r="R297" i="4" s="1"/>
  <c r="M297" i="4"/>
  <c r="Q297" i="4" s="1"/>
  <c r="W296" i="4"/>
  <c r="P296" i="4"/>
  <c r="O296" i="4"/>
  <c r="N296" i="4"/>
  <c r="R296" i="4" s="1"/>
  <c r="M296" i="4"/>
  <c r="W295" i="4"/>
  <c r="P295" i="4"/>
  <c r="O295" i="4"/>
  <c r="N295" i="4"/>
  <c r="R295" i="4" s="1"/>
  <c r="M295" i="4"/>
  <c r="Q295" i="4" s="1"/>
  <c r="W294" i="4"/>
  <c r="P294" i="4"/>
  <c r="O294" i="4"/>
  <c r="N294" i="4"/>
  <c r="R294" i="4" s="1"/>
  <c r="M294" i="4"/>
  <c r="Q294" i="4" s="1"/>
  <c r="W293" i="4"/>
  <c r="P293" i="4"/>
  <c r="O293" i="4"/>
  <c r="N293" i="4"/>
  <c r="R293" i="4" s="1"/>
  <c r="M293" i="4"/>
  <c r="Q293" i="4" s="1"/>
  <c r="W292" i="4"/>
  <c r="P292" i="4"/>
  <c r="O292" i="4"/>
  <c r="N292" i="4"/>
  <c r="R292" i="4" s="1"/>
  <c r="M292" i="4"/>
  <c r="Q292" i="4" s="1"/>
  <c r="W291" i="4"/>
  <c r="P291" i="4"/>
  <c r="O291" i="4"/>
  <c r="N291" i="4"/>
  <c r="R291" i="4" s="1"/>
  <c r="M291" i="4"/>
  <c r="Q291" i="4" s="1"/>
  <c r="W290" i="4"/>
  <c r="P290" i="4"/>
  <c r="O290" i="4"/>
  <c r="N290" i="4"/>
  <c r="R290" i="4" s="1"/>
  <c r="M290" i="4"/>
  <c r="Q290" i="4" s="1"/>
  <c r="W289" i="4"/>
  <c r="P289" i="4"/>
  <c r="O289" i="4"/>
  <c r="N289" i="4"/>
  <c r="R289" i="4" s="1"/>
  <c r="M289" i="4"/>
  <c r="Q289" i="4" s="1"/>
  <c r="W288" i="4"/>
  <c r="P288" i="4"/>
  <c r="O288" i="4"/>
  <c r="N288" i="4"/>
  <c r="R288" i="4" s="1"/>
  <c r="M288" i="4"/>
  <c r="Q288" i="4" s="1"/>
  <c r="W287" i="4"/>
  <c r="P287" i="4"/>
  <c r="O287" i="4"/>
  <c r="N287" i="4"/>
  <c r="R287" i="4" s="1"/>
  <c r="M287" i="4"/>
  <c r="Q287" i="4" s="1"/>
  <c r="W286" i="4"/>
  <c r="P286" i="4"/>
  <c r="O286" i="4"/>
  <c r="N286" i="4"/>
  <c r="R286" i="4" s="1"/>
  <c r="M286" i="4"/>
  <c r="Q286" i="4" s="1"/>
  <c r="W285" i="4"/>
  <c r="P285" i="4"/>
  <c r="O285" i="4"/>
  <c r="N285" i="4"/>
  <c r="R285" i="4" s="1"/>
  <c r="M285" i="4"/>
  <c r="Q285" i="4" s="1"/>
  <c r="W284" i="4"/>
  <c r="P284" i="4"/>
  <c r="O284" i="4"/>
  <c r="N284" i="4"/>
  <c r="R284" i="4" s="1"/>
  <c r="M284" i="4"/>
  <c r="Q284" i="4" s="1"/>
  <c r="W283" i="4"/>
  <c r="P283" i="4"/>
  <c r="O283" i="4"/>
  <c r="N283" i="4"/>
  <c r="R283" i="4" s="1"/>
  <c r="M283" i="4"/>
  <c r="Q283" i="4" s="1"/>
  <c r="W282" i="4"/>
  <c r="P282" i="4"/>
  <c r="O282" i="4"/>
  <c r="N282" i="4"/>
  <c r="R282" i="4" s="1"/>
  <c r="M282" i="4"/>
  <c r="Q282" i="4" s="1"/>
  <c r="W281" i="4"/>
  <c r="P281" i="4"/>
  <c r="O281" i="4"/>
  <c r="N281" i="4"/>
  <c r="R281" i="4" s="1"/>
  <c r="M281" i="4"/>
  <c r="Q281" i="4" s="1"/>
  <c r="W280" i="4"/>
  <c r="P280" i="4"/>
  <c r="O280" i="4"/>
  <c r="N280" i="4"/>
  <c r="R280" i="4" s="1"/>
  <c r="M280" i="4"/>
  <c r="Q280" i="4" s="1"/>
  <c r="W279" i="4"/>
  <c r="P279" i="4"/>
  <c r="O279" i="4"/>
  <c r="N279" i="4"/>
  <c r="R279" i="4" s="1"/>
  <c r="M279" i="4"/>
  <c r="Q279" i="4" s="1"/>
  <c r="W278" i="4"/>
  <c r="P278" i="4"/>
  <c r="O278" i="4"/>
  <c r="N278" i="4"/>
  <c r="R278" i="4" s="1"/>
  <c r="M278" i="4"/>
  <c r="Q278" i="4" s="1"/>
  <c r="W277" i="4"/>
  <c r="P277" i="4"/>
  <c r="O277" i="4"/>
  <c r="N277" i="4"/>
  <c r="R277" i="4" s="1"/>
  <c r="M277" i="4"/>
  <c r="Q277" i="4" s="1"/>
  <c r="W276" i="4"/>
  <c r="P276" i="4"/>
  <c r="O276" i="4"/>
  <c r="N276" i="4"/>
  <c r="R276" i="4" s="1"/>
  <c r="M276" i="4"/>
  <c r="Q276" i="4" s="1"/>
  <c r="W275" i="4"/>
  <c r="P275" i="4"/>
  <c r="O275" i="4"/>
  <c r="N275" i="4"/>
  <c r="R275" i="4" s="1"/>
  <c r="M275" i="4"/>
  <c r="Q275" i="4" s="1"/>
  <c r="W274" i="4"/>
  <c r="P274" i="4"/>
  <c r="O274" i="4"/>
  <c r="N274" i="4"/>
  <c r="R274" i="4" s="1"/>
  <c r="M274" i="4"/>
  <c r="Q274" i="4" s="1"/>
  <c r="W273" i="4"/>
  <c r="P273" i="4"/>
  <c r="O273" i="4"/>
  <c r="N273" i="4"/>
  <c r="R273" i="4" s="1"/>
  <c r="M273" i="4"/>
  <c r="Q273" i="4" s="1"/>
  <c r="W272" i="4"/>
  <c r="P272" i="4"/>
  <c r="O272" i="4"/>
  <c r="N272" i="4"/>
  <c r="R272" i="4" s="1"/>
  <c r="M272" i="4"/>
  <c r="Q272" i="4" s="1"/>
  <c r="W271" i="4"/>
  <c r="P271" i="4"/>
  <c r="O271" i="4"/>
  <c r="N271" i="4"/>
  <c r="R271" i="4" s="1"/>
  <c r="M271" i="4"/>
  <c r="Q271" i="4" s="1"/>
  <c r="W270" i="4"/>
  <c r="P270" i="4"/>
  <c r="O270" i="4"/>
  <c r="N270" i="4"/>
  <c r="R270" i="4" s="1"/>
  <c r="M270" i="4"/>
  <c r="Q270" i="4" s="1"/>
  <c r="W269" i="4"/>
  <c r="P269" i="4"/>
  <c r="O269" i="4"/>
  <c r="N269" i="4"/>
  <c r="R269" i="4" s="1"/>
  <c r="M269" i="4"/>
  <c r="Q269" i="4" s="1"/>
  <c r="W268" i="4"/>
  <c r="P268" i="4"/>
  <c r="O268" i="4"/>
  <c r="N268" i="4"/>
  <c r="R268" i="4" s="1"/>
  <c r="M268" i="4"/>
  <c r="Q268" i="4" s="1"/>
  <c r="W267" i="4"/>
  <c r="P267" i="4"/>
  <c r="O267" i="4"/>
  <c r="N267" i="4"/>
  <c r="R267" i="4" s="1"/>
  <c r="M267" i="4"/>
  <c r="Q267" i="4" s="1"/>
  <c r="W266" i="4"/>
  <c r="P266" i="4"/>
  <c r="O266" i="4"/>
  <c r="N266" i="4"/>
  <c r="R266" i="4" s="1"/>
  <c r="M266" i="4"/>
  <c r="Q266" i="4" s="1"/>
  <c r="W265" i="4"/>
  <c r="P265" i="4"/>
  <c r="O265" i="4"/>
  <c r="N265" i="4"/>
  <c r="R265" i="4" s="1"/>
  <c r="M265" i="4"/>
  <c r="Q265" i="4" s="1"/>
  <c r="W264" i="4"/>
  <c r="P264" i="4"/>
  <c r="O264" i="4"/>
  <c r="N264" i="4"/>
  <c r="R264" i="4" s="1"/>
  <c r="M264" i="4"/>
  <c r="Q264" i="4" s="1"/>
  <c r="W263" i="4"/>
  <c r="P263" i="4"/>
  <c r="O263" i="4"/>
  <c r="N263" i="4"/>
  <c r="R263" i="4" s="1"/>
  <c r="M263" i="4"/>
  <c r="Q263" i="4" s="1"/>
  <c r="W262" i="4"/>
  <c r="P262" i="4"/>
  <c r="O262" i="4"/>
  <c r="N262" i="4"/>
  <c r="R262" i="4" s="1"/>
  <c r="M262" i="4"/>
  <c r="Q262" i="4" s="1"/>
  <c r="W261" i="4"/>
  <c r="P261" i="4"/>
  <c r="O261" i="4"/>
  <c r="N261" i="4"/>
  <c r="R261" i="4" s="1"/>
  <c r="M261" i="4"/>
  <c r="Q261" i="4" s="1"/>
  <c r="W260" i="4"/>
  <c r="P260" i="4"/>
  <c r="O260" i="4"/>
  <c r="N260" i="4"/>
  <c r="R260" i="4" s="1"/>
  <c r="M260" i="4"/>
  <c r="Q260" i="4" s="1"/>
  <c r="W259" i="4"/>
  <c r="P259" i="4"/>
  <c r="O259" i="4"/>
  <c r="N259" i="4"/>
  <c r="R259" i="4" s="1"/>
  <c r="M259" i="4"/>
  <c r="Q259" i="4" s="1"/>
  <c r="W258" i="4"/>
  <c r="P258" i="4"/>
  <c r="O258" i="4"/>
  <c r="N258" i="4"/>
  <c r="R258" i="4" s="1"/>
  <c r="M258" i="4"/>
  <c r="Q258" i="4" s="1"/>
  <c r="W257" i="4"/>
  <c r="P257" i="4"/>
  <c r="O257" i="4"/>
  <c r="N257" i="4"/>
  <c r="R257" i="4" s="1"/>
  <c r="M257" i="4"/>
  <c r="Q257" i="4" s="1"/>
  <c r="W256" i="4"/>
  <c r="P256" i="4"/>
  <c r="O256" i="4"/>
  <c r="N256" i="4"/>
  <c r="R256" i="4" s="1"/>
  <c r="M256" i="4"/>
  <c r="Q256" i="4" s="1"/>
  <c r="W255" i="4"/>
  <c r="P255" i="4"/>
  <c r="O255" i="4"/>
  <c r="N255" i="4"/>
  <c r="R255" i="4" s="1"/>
  <c r="M255" i="4"/>
  <c r="Q255" i="4" s="1"/>
  <c r="W254" i="4"/>
  <c r="P254" i="4"/>
  <c r="O254" i="4"/>
  <c r="N254" i="4"/>
  <c r="R254" i="4" s="1"/>
  <c r="M254" i="4"/>
  <c r="Q254" i="4" s="1"/>
  <c r="W253" i="4"/>
  <c r="P253" i="4"/>
  <c r="O253" i="4"/>
  <c r="N253" i="4"/>
  <c r="R253" i="4" s="1"/>
  <c r="M253" i="4"/>
  <c r="Q253" i="4" s="1"/>
  <c r="W252" i="4"/>
  <c r="P252" i="4"/>
  <c r="O252" i="4"/>
  <c r="N252" i="4"/>
  <c r="R252" i="4" s="1"/>
  <c r="M252" i="4"/>
  <c r="Q252" i="4" s="1"/>
  <c r="W251" i="4"/>
  <c r="P251" i="4"/>
  <c r="O251" i="4"/>
  <c r="N251" i="4"/>
  <c r="R251" i="4" s="1"/>
  <c r="M251" i="4"/>
  <c r="Q251" i="4" s="1"/>
  <c r="W250" i="4"/>
  <c r="P250" i="4"/>
  <c r="O250" i="4"/>
  <c r="N250" i="4"/>
  <c r="R250" i="4" s="1"/>
  <c r="M250" i="4"/>
  <c r="Q250" i="4" s="1"/>
  <c r="W249" i="4"/>
  <c r="P249" i="4"/>
  <c r="O249" i="4"/>
  <c r="N249" i="4"/>
  <c r="R249" i="4" s="1"/>
  <c r="M249" i="4"/>
  <c r="Q249" i="4" s="1"/>
  <c r="W248" i="4"/>
  <c r="P248" i="4"/>
  <c r="O248" i="4"/>
  <c r="N248" i="4"/>
  <c r="R248" i="4" s="1"/>
  <c r="M248" i="4"/>
  <c r="Q248" i="4" s="1"/>
  <c r="W247" i="4"/>
  <c r="P247" i="4"/>
  <c r="O247" i="4"/>
  <c r="N247" i="4"/>
  <c r="R247" i="4" s="1"/>
  <c r="M247" i="4"/>
  <c r="Q247" i="4" s="1"/>
  <c r="W246" i="4"/>
  <c r="P246" i="4"/>
  <c r="O246" i="4"/>
  <c r="N246" i="4"/>
  <c r="R246" i="4" s="1"/>
  <c r="M246" i="4"/>
  <c r="Q246" i="4" s="1"/>
  <c r="W245" i="4"/>
  <c r="P245" i="4"/>
  <c r="O245" i="4"/>
  <c r="N245" i="4"/>
  <c r="R245" i="4" s="1"/>
  <c r="M245" i="4"/>
  <c r="Q245" i="4" s="1"/>
  <c r="W244" i="4"/>
  <c r="P244" i="4"/>
  <c r="O244" i="4"/>
  <c r="N244" i="4"/>
  <c r="R244" i="4" s="1"/>
  <c r="M244" i="4"/>
  <c r="Q244" i="4" s="1"/>
  <c r="W243" i="4"/>
  <c r="P243" i="4"/>
  <c r="O243" i="4"/>
  <c r="N243" i="4"/>
  <c r="R243" i="4" s="1"/>
  <c r="M243" i="4"/>
  <c r="Q243" i="4" s="1"/>
  <c r="W242" i="4"/>
  <c r="P242" i="4"/>
  <c r="O242" i="4"/>
  <c r="N242" i="4"/>
  <c r="R242" i="4" s="1"/>
  <c r="M242" i="4"/>
  <c r="Q242" i="4" s="1"/>
  <c r="W241" i="4"/>
  <c r="P241" i="4"/>
  <c r="O241" i="4"/>
  <c r="N241" i="4"/>
  <c r="R241" i="4" s="1"/>
  <c r="M241" i="4"/>
  <c r="Q241" i="4" s="1"/>
  <c r="W240" i="4"/>
  <c r="P240" i="4"/>
  <c r="O240" i="4"/>
  <c r="N240" i="4"/>
  <c r="R240" i="4" s="1"/>
  <c r="M240" i="4"/>
  <c r="Q240" i="4" s="1"/>
  <c r="W239" i="4"/>
  <c r="P239" i="4"/>
  <c r="O239" i="4"/>
  <c r="N239" i="4"/>
  <c r="R239" i="4" s="1"/>
  <c r="M239" i="4"/>
  <c r="Q239" i="4" s="1"/>
  <c r="W238" i="4"/>
  <c r="P238" i="4"/>
  <c r="O238" i="4"/>
  <c r="N238" i="4"/>
  <c r="R238" i="4" s="1"/>
  <c r="M238" i="4"/>
  <c r="Q238" i="4" s="1"/>
  <c r="W237" i="4"/>
  <c r="P237" i="4"/>
  <c r="O237" i="4"/>
  <c r="N237" i="4"/>
  <c r="R237" i="4" s="1"/>
  <c r="M237" i="4"/>
  <c r="Q237" i="4" s="1"/>
  <c r="W236" i="4"/>
  <c r="P236" i="4"/>
  <c r="O236" i="4"/>
  <c r="N236" i="4"/>
  <c r="R236" i="4" s="1"/>
  <c r="M236" i="4"/>
  <c r="Q236" i="4" s="1"/>
  <c r="W235" i="4"/>
  <c r="P235" i="4"/>
  <c r="O235" i="4"/>
  <c r="N235" i="4"/>
  <c r="R235" i="4" s="1"/>
  <c r="M235" i="4"/>
  <c r="Q235" i="4" s="1"/>
  <c r="W234" i="4"/>
  <c r="P234" i="4"/>
  <c r="O234" i="4"/>
  <c r="N234" i="4"/>
  <c r="R234" i="4" s="1"/>
  <c r="M234" i="4"/>
  <c r="Q234" i="4" s="1"/>
  <c r="W233" i="4"/>
  <c r="P233" i="4"/>
  <c r="O233" i="4"/>
  <c r="N233" i="4"/>
  <c r="R233" i="4" s="1"/>
  <c r="M233" i="4"/>
  <c r="Q233" i="4" s="1"/>
  <c r="W232" i="4"/>
  <c r="P232" i="4"/>
  <c r="O232" i="4"/>
  <c r="N232" i="4"/>
  <c r="R232" i="4" s="1"/>
  <c r="M232" i="4"/>
  <c r="Q232" i="4" s="1"/>
  <c r="W231" i="4"/>
  <c r="P231" i="4"/>
  <c r="O231" i="4"/>
  <c r="N231" i="4"/>
  <c r="R231" i="4" s="1"/>
  <c r="M231" i="4"/>
  <c r="Q231" i="4" s="1"/>
  <c r="W230" i="4"/>
  <c r="P230" i="4"/>
  <c r="O230" i="4"/>
  <c r="N230" i="4"/>
  <c r="R230" i="4" s="1"/>
  <c r="M230" i="4"/>
  <c r="Q230" i="4" s="1"/>
  <c r="W229" i="4"/>
  <c r="P229" i="4"/>
  <c r="O229" i="4"/>
  <c r="N229" i="4"/>
  <c r="R229" i="4" s="1"/>
  <c r="M229" i="4"/>
  <c r="Q229" i="4" s="1"/>
  <c r="W228" i="4"/>
  <c r="P228" i="4"/>
  <c r="O228" i="4"/>
  <c r="N228" i="4"/>
  <c r="R228" i="4" s="1"/>
  <c r="M228" i="4"/>
  <c r="Q228" i="4" s="1"/>
  <c r="W227" i="4"/>
  <c r="P227" i="4"/>
  <c r="O227" i="4"/>
  <c r="N227" i="4"/>
  <c r="R227" i="4" s="1"/>
  <c r="M227" i="4"/>
  <c r="Q227" i="4" s="1"/>
  <c r="W226" i="4"/>
  <c r="P226" i="4"/>
  <c r="O226" i="4"/>
  <c r="N226" i="4"/>
  <c r="R226" i="4" s="1"/>
  <c r="M226" i="4"/>
  <c r="Q226" i="4" s="1"/>
  <c r="W225" i="4"/>
  <c r="P225" i="4"/>
  <c r="O225" i="4"/>
  <c r="N225" i="4"/>
  <c r="R225" i="4" s="1"/>
  <c r="M225" i="4"/>
  <c r="Q225" i="4" s="1"/>
  <c r="W224" i="4"/>
  <c r="P224" i="4"/>
  <c r="O224" i="4"/>
  <c r="N224" i="4"/>
  <c r="R224" i="4" s="1"/>
  <c r="M224" i="4"/>
  <c r="Q224" i="4" s="1"/>
  <c r="W223" i="4"/>
  <c r="P223" i="4"/>
  <c r="O223" i="4"/>
  <c r="N223" i="4"/>
  <c r="R223" i="4" s="1"/>
  <c r="M223" i="4"/>
  <c r="Q223" i="4" s="1"/>
  <c r="W222" i="4"/>
  <c r="P222" i="4"/>
  <c r="O222" i="4"/>
  <c r="N222" i="4"/>
  <c r="R222" i="4" s="1"/>
  <c r="M222" i="4"/>
  <c r="Q222" i="4" s="1"/>
  <c r="W221" i="4"/>
  <c r="P221" i="4"/>
  <c r="O221" i="4"/>
  <c r="N221" i="4"/>
  <c r="R221" i="4" s="1"/>
  <c r="M221" i="4"/>
  <c r="Q221" i="4" s="1"/>
  <c r="W220" i="4"/>
  <c r="P220" i="4"/>
  <c r="O220" i="4"/>
  <c r="N220" i="4"/>
  <c r="R220" i="4" s="1"/>
  <c r="M220" i="4"/>
  <c r="Q220" i="4" s="1"/>
  <c r="W219" i="4"/>
  <c r="P219" i="4"/>
  <c r="O219" i="4"/>
  <c r="N219" i="4"/>
  <c r="R219" i="4" s="1"/>
  <c r="M219" i="4"/>
  <c r="Q219" i="4" s="1"/>
  <c r="W218" i="4"/>
  <c r="P218" i="4"/>
  <c r="O218" i="4"/>
  <c r="N218" i="4"/>
  <c r="R218" i="4" s="1"/>
  <c r="M218" i="4"/>
  <c r="Q218" i="4" s="1"/>
  <c r="W217" i="4"/>
  <c r="P217" i="4"/>
  <c r="O217" i="4"/>
  <c r="N217" i="4"/>
  <c r="R217" i="4" s="1"/>
  <c r="M217" i="4"/>
  <c r="Q217" i="4" s="1"/>
  <c r="W216" i="4"/>
  <c r="P216" i="4"/>
  <c r="O216" i="4"/>
  <c r="N216" i="4"/>
  <c r="R216" i="4" s="1"/>
  <c r="M216" i="4"/>
  <c r="Q216" i="4" s="1"/>
  <c r="W215" i="4"/>
  <c r="P215" i="4"/>
  <c r="O215" i="4"/>
  <c r="N215" i="4"/>
  <c r="R215" i="4" s="1"/>
  <c r="M215" i="4"/>
  <c r="Q215" i="4" s="1"/>
  <c r="W214" i="4"/>
  <c r="P214" i="4"/>
  <c r="O214" i="4"/>
  <c r="N214" i="4"/>
  <c r="R214" i="4" s="1"/>
  <c r="M214" i="4"/>
  <c r="Q214" i="4" s="1"/>
  <c r="W213" i="4"/>
  <c r="P213" i="4"/>
  <c r="O213" i="4"/>
  <c r="N213" i="4"/>
  <c r="R213" i="4" s="1"/>
  <c r="M213" i="4"/>
  <c r="Q213" i="4" s="1"/>
  <c r="W212" i="4"/>
  <c r="P212" i="4"/>
  <c r="O212" i="4"/>
  <c r="N212" i="4"/>
  <c r="R212" i="4" s="1"/>
  <c r="M212" i="4"/>
  <c r="Q212" i="4" s="1"/>
  <c r="W211" i="4"/>
  <c r="P211" i="4"/>
  <c r="O211" i="4"/>
  <c r="N211" i="4"/>
  <c r="R211" i="4" s="1"/>
  <c r="M211" i="4"/>
  <c r="Q211" i="4" s="1"/>
  <c r="W210" i="4"/>
  <c r="P210" i="4"/>
  <c r="O210" i="4"/>
  <c r="N210" i="4"/>
  <c r="R210" i="4" s="1"/>
  <c r="M210" i="4"/>
  <c r="Q210" i="4" s="1"/>
  <c r="W209" i="4"/>
  <c r="P209" i="4"/>
  <c r="O209" i="4"/>
  <c r="N209" i="4"/>
  <c r="R209" i="4" s="1"/>
  <c r="M209" i="4"/>
  <c r="Q209" i="4" s="1"/>
  <c r="W208" i="4"/>
  <c r="P208" i="4"/>
  <c r="O208" i="4"/>
  <c r="N208" i="4"/>
  <c r="R208" i="4" s="1"/>
  <c r="M208" i="4"/>
  <c r="Q208" i="4" s="1"/>
  <c r="W207" i="4"/>
  <c r="P207" i="4"/>
  <c r="O207" i="4"/>
  <c r="N207" i="4"/>
  <c r="R207" i="4" s="1"/>
  <c r="M207" i="4"/>
  <c r="Q207" i="4" s="1"/>
  <c r="W206" i="4"/>
  <c r="P206" i="4"/>
  <c r="O206" i="4"/>
  <c r="N206" i="4"/>
  <c r="R206" i="4" s="1"/>
  <c r="M206" i="4"/>
  <c r="Q206" i="4" s="1"/>
  <c r="W205" i="4"/>
  <c r="P205" i="4"/>
  <c r="O205" i="4"/>
  <c r="N205" i="4"/>
  <c r="R205" i="4" s="1"/>
  <c r="M205" i="4"/>
  <c r="Q205" i="4" s="1"/>
  <c r="W204" i="4"/>
  <c r="P204" i="4"/>
  <c r="O204" i="4"/>
  <c r="N204" i="4"/>
  <c r="R204" i="4" s="1"/>
  <c r="M204" i="4"/>
  <c r="Q204" i="4" s="1"/>
  <c r="W203" i="4"/>
  <c r="P203" i="4"/>
  <c r="O203" i="4"/>
  <c r="N203" i="4"/>
  <c r="R203" i="4" s="1"/>
  <c r="M203" i="4"/>
  <c r="Q203" i="4" s="1"/>
  <c r="W202" i="4"/>
  <c r="P202" i="4"/>
  <c r="O202" i="4"/>
  <c r="N202" i="4"/>
  <c r="R202" i="4" s="1"/>
  <c r="M202" i="4"/>
  <c r="Q202" i="4" s="1"/>
  <c r="W201" i="4"/>
  <c r="P201" i="4"/>
  <c r="O201" i="4"/>
  <c r="N201" i="4"/>
  <c r="R201" i="4" s="1"/>
  <c r="M201" i="4"/>
  <c r="Q201" i="4" s="1"/>
  <c r="W200" i="4"/>
  <c r="P200" i="4"/>
  <c r="O200" i="4"/>
  <c r="N200" i="4"/>
  <c r="R200" i="4" s="1"/>
  <c r="M200" i="4"/>
  <c r="Q200" i="4" s="1"/>
  <c r="W199" i="4"/>
  <c r="P199" i="4"/>
  <c r="O199" i="4"/>
  <c r="N199" i="4"/>
  <c r="R199" i="4" s="1"/>
  <c r="M199" i="4"/>
  <c r="Q199" i="4" s="1"/>
  <c r="W198" i="4"/>
  <c r="P198" i="4"/>
  <c r="O198" i="4"/>
  <c r="N198" i="4"/>
  <c r="R198" i="4" s="1"/>
  <c r="M198" i="4"/>
  <c r="Q198" i="4" s="1"/>
  <c r="W197" i="4"/>
  <c r="P197" i="4"/>
  <c r="O197" i="4"/>
  <c r="N197" i="4"/>
  <c r="R197" i="4" s="1"/>
  <c r="M197" i="4"/>
  <c r="Q197" i="4" s="1"/>
  <c r="W196" i="4"/>
  <c r="P196" i="4"/>
  <c r="O196" i="4"/>
  <c r="N196" i="4"/>
  <c r="R196" i="4" s="1"/>
  <c r="M196" i="4"/>
  <c r="W195" i="4"/>
  <c r="R195" i="4"/>
  <c r="P195" i="4"/>
  <c r="O195" i="4"/>
  <c r="N195" i="4"/>
  <c r="M195" i="4"/>
  <c r="Q195" i="4" s="1"/>
  <c r="W194" i="4"/>
  <c r="P194" i="4"/>
  <c r="O194" i="4"/>
  <c r="N194" i="4"/>
  <c r="R194" i="4" s="1"/>
  <c r="M194" i="4"/>
  <c r="Q194" i="4" s="1"/>
  <c r="W193" i="4"/>
  <c r="P193" i="4"/>
  <c r="O193" i="4"/>
  <c r="N193" i="4"/>
  <c r="M193" i="4"/>
  <c r="Q193" i="4" s="1"/>
  <c r="W192" i="4"/>
  <c r="P192" i="4"/>
  <c r="O192" i="4"/>
  <c r="N192" i="4"/>
  <c r="R192" i="4" s="1"/>
  <c r="M192" i="4"/>
  <c r="Q192" i="4" s="1"/>
  <c r="W191" i="4"/>
  <c r="R191" i="4"/>
  <c r="P191" i="4"/>
  <c r="O191" i="4"/>
  <c r="N191" i="4"/>
  <c r="M191" i="4"/>
  <c r="Q191" i="4" s="1"/>
  <c r="W190" i="4"/>
  <c r="P190" i="4"/>
  <c r="O190" i="4"/>
  <c r="N190" i="4"/>
  <c r="R190" i="4" s="1"/>
  <c r="M190" i="4"/>
  <c r="Q190" i="4" s="1"/>
  <c r="W189" i="4"/>
  <c r="P189" i="4"/>
  <c r="O189" i="4"/>
  <c r="N189" i="4"/>
  <c r="R189" i="4" s="1"/>
  <c r="M189" i="4"/>
  <c r="Q189" i="4" s="1"/>
  <c r="W188" i="4"/>
  <c r="P188" i="4"/>
  <c r="O188" i="4"/>
  <c r="N188" i="4"/>
  <c r="R188" i="4" s="1"/>
  <c r="M188" i="4"/>
  <c r="W187" i="4"/>
  <c r="R187" i="4"/>
  <c r="P187" i="4"/>
  <c r="O187" i="4"/>
  <c r="N187" i="4"/>
  <c r="M187" i="4"/>
  <c r="Q187" i="4" s="1"/>
  <c r="W186" i="4"/>
  <c r="P186" i="4"/>
  <c r="O186" i="4"/>
  <c r="N186" i="4"/>
  <c r="R186" i="4" s="1"/>
  <c r="M186" i="4"/>
  <c r="Q186" i="4" s="1"/>
  <c r="W185" i="4"/>
  <c r="P185" i="4"/>
  <c r="O185" i="4"/>
  <c r="N185" i="4"/>
  <c r="M185" i="4"/>
  <c r="Q185" i="4" s="1"/>
  <c r="W184" i="4"/>
  <c r="P184" i="4"/>
  <c r="O184" i="4"/>
  <c r="N184" i="4"/>
  <c r="R184" i="4" s="1"/>
  <c r="M184" i="4"/>
  <c r="Q184" i="4" s="1"/>
  <c r="W183" i="4"/>
  <c r="R183" i="4"/>
  <c r="P183" i="4"/>
  <c r="O183" i="4"/>
  <c r="N183" i="4"/>
  <c r="M183" i="4"/>
  <c r="Q183" i="4" s="1"/>
  <c r="W182" i="4"/>
  <c r="P182" i="4"/>
  <c r="O182" i="4"/>
  <c r="N182" i="4"/>
  <c r="R182" i="4" s="1"/>
  <c r="M182" i="4"/>
  <c r="Q182" i="4" s="1"/>
  <c r="W181" i="4"/>
  <c r="P181" i="4"/>
  <c r="O181" i="4"/>
  <c r="N181" i="4"/>
  <c r="R181" i="4" s="1"/>
  <c r="M181" i="4"/>
  <c r="Q181" i="4" s="1"/>
  <c r="W180" i="4"/>
  <c r="P180" i="4"/>
  <c r="O180" i="4"/>
  <c r="N180" i="4"/>
  <c r="R180" i="4" s="1"/>
  <c r="M180" i="4"/>
  <c r="W179" i="4"/>
  <c r="R179" i="4"/>
  <c r="P179" i="4"/>
  <c r="O179" i="4"/>
  <c r="N179" i="4"/>
  <c r="M179" i="4"/>
  <c r="Q179" i="4" s="1"/>
  <c r="W178" i="4"/>
  <c r="P178" i="4"/>
  <c r="O178" i="4"/>
  <c r="N178" i="4"/>
  <c r="R178" i="4" s="1"/>
  <c r="M178" i="4"/>
  <c r="Q178" i="4" s="1"/>
  <c r="W177" i="4"/>
  <c r="P177" i="4"/>
  <c r="O177" i="4"/>
  <c r="N177" i="4"/>
  <c r="M177" i="4"/>
  <c r="Q177" i="4" s="1"/>
  <c r="W176" i="4"/>
  <c r="P176" i="4"/>
  <c r="O176" i="4"/>
  <c r="N176" i="4"/>
  <c r="R176" i="4" s="1"/>
  <c r="M176" i="4"/>
  <c r="Q176" i="4" s="1"/>
  <c r="W175" i="4"/>
  <c r="R175" i="4"/>
  <c r="P175" i="4"/>
  <c r="O175" i="4"/>
  <c r="N175" i="4"/>
  <c r="M175" i="4"/>
  <c r="Q175" i="4" s="1"/>
  <c r="W174" i="4"/>
  <c r="P174" i="4"/>
  <c r="O174" i="4"/>
  <c r="N174" i="4"/>
  <c r="R174" i="4" s="1"/>
  <c r="M174" i="4"/>
  <c r="Q174" i="4" s="1"/>
  <c r="W173" i="4"/>
  <c r="P173" i="4"/>
  <c r="O173" i="4"/>
  <c r="N173" i="4"/>
  <c r="R173" i="4" s="1"/>
  <c r="M173" i="4"/>
  <c r="Q173" i="4" s="1"/>
  <c r="W172" i="4"/>
  <c r="P172" i="4"/>
  <c r="O172" i="4"/>
  <c r="N172" i="4"/>
  <c r="R172" i="4" s="1"/>
  <c r="M172" i="4"/>
  <c r="W171" i="4"/>
  <c r="R171" i="4"/>
  <c r="P171" i="4"/>
  <c r="O171" i="4"/>
  <c r="N171" i="4"/>
  <c r="M171" i="4"/>
  <c r="Q171" i="4" s="1"/>
  <c r="W170" i="4"/>
  <c r="P170" i="4"/>
  <c r="O170" i="4"/>
  <c r="N170" i="4"/>
  <c r="R170" i="4" s="1"/>
  <c r="M170" i="4"/>
  <c r="Q170" i="4" s="1"/>
  <c r="W169" i="4"/>
  <c r="P169" i="4"/>
  <c r="O169" i="4"/>
  <c r="N169" i="4"/>
  <c r="M169" i="4"/>
  <c r="Q169" i="4" s="1"/>
  <c r="W168" i="4"/>
  <c r="P168" i="4"/>
  <c r="O168" i="4"/>
  <c r="N168" i="4"/>
  <c r="R168" i="4" s="1"/>
  <c r="M168" i="4"/>
  <c r="Q168" i="4" s="1"/>
  <c r="W167" i="4"/>
  <c r="R167" i="4"/>
  <c r="P167" i="4"/>
  <c r="O167" i="4"/>
  <c r="N167" i="4"/>
  <c r="M167" i="4"/>
  <c r="Q167" i="4" s="1"/>
  <c r="W166" i="4"/>
  <c r="P166" i="4"/>
  <c r="O166" i="4"/>
  <c r="N166" i="4"/>
  <c r="R166" i="4" s="1"/>
  <c r="M166" i="4"/>
  <c r="Q166" i="4" s="1"/>
  <c r="W165" i="4"/>
  <c r="P165" i="4"/>
  <c r="O165" i="4"/>
  <c r="N165" i="4"/>
  <c r="R165" i="4" s="1"/>
  <c r="M165" i="4"/>
  <c r="Q165" i="4" s="1"/>
  <c r="W164" i="4"/>
  <c r="P164" i="4"/>
  <c r="O164" i="4"/>
  <c r="N164" i="4"/>
  <c r="R164" i="4" s="1"/>
  <c r="M164" i="4"/>
  <c r="W163" i="4"/>
  <c r="R163" i="4"/>
  <c r="P163" i="4"/>
  <c r="O163" i="4"/>
  <c r="N163" i="4"/>
  <c r="M163" i="4"/>
  <c r="Q163" i="4" s="1"/>
  <c r="W162" i="4"/>
  <c r="P162" i="4"/>
  <c r="O162" i="4"/>
  <c r="N162" i="4"/>
  <c r="R162" i="4" s="1"/>
  <c r="M162" i="4"/>
  <c r="Q162" i="4" s="1"/>
  <c r="W161" i="4"/>
  <c r="P161" i="4"/>
  <c r="O161" i="4"/>
  <c r="N161" i="4"/>
  <c r="M161" i="4"/>
  <c r="Q161" i="4" s="1"/>
  <c r="W160" i="4"/>
  <c r="P160" i="4"/>
  <c r="O160" i="4"/>
  <c r="N160" i="4"/>
  <c r="R160" i="4" s="1"/>
  <c r="M160" i="4"/>
  <c r="Q160" i="4" s="1"/>
  <c r="W159" i="4"/>
  <c r="R159" i="4"/>
  <c r="P159" i="4"/>
  <c r="O159" i="4"/>
  <c r="N159" i="4"/>
  <c r="M159" i="4"/>
  <c r="Q159" i="4" s="1"/>
  <c r="W158" i="4"/>
  <c r="P158" i="4"/>
  <c r="O158" i="4"/>
  <c r="N158" i="4"/>
  <c r="R158" i="4" s="1"/>
  <c r="M158" i="4"/>
  <c r="Q158" i="4" s="1"/>
  <c r="W157" i="4"/>
  <c r="P157" i="4"/>
  <c r="O157" i="4"/>
  <c r="N157" i="4"/>
  <c r="R157" i="4" s="1"/>
  <c r="M157" i="4"/>
  <c r="Q157" i="4" s="1"/>
  <c r="W156" i="4"/>
  <c r="P156" i="4"/>
  <c r="O156" i="4"/>
  <c r="N156" i="4"/>
  <c r="R156" i="4" s="1"/>
  <c r="M156" i="4"/>
  <c r="W155" i="4"/>
  <c r="R155" i="4"/>
  <c r="P155" i="4"/>
  <c r="O155" i="4"/>
  <c r="N155" i="4"/>
  <c r="M155" i="4"/>
  <c r="Q155" i="4" s="1"/>
  <c r="W154" i="4"/>
  <c r="P154" i="4"/>
  <c r="O154" i="4"/>
  <c r="N154" i="4"/>
  <c r="R154" i="4" s="1"/>
  <c r="M154" i="4"/>
  <c r="Q154" i="4" s="1"/>
  <c r="W153" i="4"/>
  <c r="P153" i="4"/>
  <c r="O153" i="4"/>
  <c r="N153" i="4"/>
  <c r="M153" i="4"/>
  <c r="Q153" i="4" s="1"/>
  <c r="W152" i="4"/>
  <c r="P152" i="4"/>
  <c r="O152" i="4"/>
  <c r="N152" i="4"/>
  <c r="R152" i="4" s="1"/>
  <c r="M152" i="4"/>
  <c r="Q152" i="4" s="1"/>
  <c r="W151" i="4"/>
  <c r="R151" i="4"/>
  <c r="P151" i="4"/>
  <c r="O151" i="4"/>
  <c r="N151" i="4"/>
  <c r="M151" i="4"/>
  <c r="Q151" i="4" s="1"/>
  <c r="W150" i="4"/>
  <c r="P150" i="4"/>
  <c r="O150" i="4"/>
  <c r="N150" i="4"/>
  <c r="R150" i="4" s="1"/>
  <c r="M150" i="4"/>
  <c r="Q150" i="4" s="1"/>
  <c r="W149" i="4"/>
  <c r="P149" i="4"/>
  <c r="O149" i="4"/>
  <c r="N149" i="4"/>
  <c r="R149" i="4" s="1"/>
  <c r="M149" i="4"/>
  <c r="Q149" i="4" s="1"/>
  <c r="W148" i="4"/>
  <c r="P148" i="4"/>
  <c r="O148" i="4"/>
  <c r="N148" i="4"/>
  <c r="R148" i="4" s="1"/>
  <c r="M148" i="4"/>
  <c r="W147" i="4"/>
  <c r="R147" i="4"/>
  <c r="P147" i="4"/>
  <c r="O147" i="4"/>
  <c r="N147" i="4"/>
  <c r="M147" i="4"/>
  <c r="Q147" i="4" s="1"/>
  <c r="W146" i="4"/>
  <c r="P146" i="4"/>
  <c r="O146" i="4"/>
  <c r="N146" i="4"/>
  <c r="R146" i="4" s="1"/>
  <c r="M146" i="4"/>
  <c r="Q146" i="4" s="1"/>
  <c r="W145" i="4"/>
  <c r="P145" i="4"/>
  <c r="O145" i="4"/>
  <c r="N145" i="4"/>
  <c r="M145" i="4"/>
  <c r="Q145" i="4" s="1"/>
  <c r="W144" i="4"/>
  <c r="P144" i="4"/>
  <c r="O144" i="4"/>
  <c r="N144" i="4"/>
  <c r="R144" i="4" s="1"/>
  <c r="M144" i="4"/>
  <c r="Q144" i="4" s="1"/>
  <c r="W143" i="4"/>
  <c r="R143" i="4"/>
  <c r="P143" i="4"/>
  <c r="O143" i="4"/>
  <c r="N143" i="4"/>
  <c r="M143" i="4"/>
  <c r="Q143" i="4" s="1"/>
  <c r="W142" i="4"/>
  <c r="P142" i="4"/>
  <c r="O142" i="4"/>
  <c r="N142" i="4"/>
  <c r="R142" i="4" s="1"/>
  <c r="M142" i="4"/>
  <c r="Q142" i="4" s="1"/>
  <c r="W141" i="4"/>
  <c r="P141" i="4"/>
  <c r="O141" i="4"/>
  <c r="N141" i="4"/>
  <c r="R141" i="4" s="1"/>
  <c r="M141" i="4"/>
  <c r="Q141" i="4" s="1"/>
  <c r="W140" i="4"/>
  <c r="P140" i="4"/>
  <c r="O140" i="4"/>
  <c r="N140" i="4"/>
  <c r="R140" i="4" s="1"/>
  <c r="M140" i="4"/>
  <c r="W139" i="4"/>
  <c r="R139" i="4"/>
  <c r="P139" i="4"/>
  <c r="O139" i="4"/>
  <c r="N139" i="4"/>
  <c r="M139" i="4"/>
  <c r="Q139" i="4" s="1"/>
  <c r="W138" i="4"/>
  <c r="P138" i="4"/>
  <c r="O138" i="4"/>
  <c r="N138" i="4"/>
  <c r="R138" i="4" s="1"/>
  <c r="M138" i="4"/>
  <c r="Q138" i="4" s="1"/>
  <c r="W137" i="4"/>
  <c r="P137" i="4"/>
  <c r="O137" i="4"/>
  <c r="N137" i="4"/>
  <c r="M137" i="4"/>
  <c r="Q137" i="4" s="1"/>
  <c r="W136" i="4"/>
  <c r="P136" i="4"/>
  <c r="O136" i="4"/>
  <c r="N136" i="4"/>
  <c r="R136" i="4" s="1"/>
  <c r="M136" i="4"/>
  <c r="Q136" i="4" s="1"/>
  <c r="W135" i="4"/>
  <c r="R135" i="4"/>
  <c r="P135" i="4"/>
  <c r="O135" i="4"/>
  <c r="N135" i="4"/>
  <c r="M135" i="4"/>
  <c r="Q135" i="4" s="1"/>
  <c r="W134" i="4"/>
  <c r="P134" i="4"/>
  <c r="O134" i="4"/>
  <c r="N134" i="4"/>
  <c r="R134" i="4" s="1"/>
  <c r="M134" i="4"/>
  <c r="Q134" i="4" s="1"/>
  <c r="W133" i="4"/>
  <c r="P133" i="4"/>
  <c r="O133" i="4"/>
  <c r="N133" i="4"/>
  <c r="R133" i="4" s="1"/>
  <c r="M133" i="4"/>
  <c r="Q133" i="4" s="1"/>
  <c r="W132" i="4"/>
  <c r="P132" i="4"/>
  <c r="O132" i="4"/>
  <c r="N132" i="4"/>
  <c r="R132" i="4" s="1"/>
  <c r="M132" i="4"/>
  <c r="W131" i="4"/>
  <c r="R131" i="4"/>
  <c r="P131" i="4"/>
  <c r="O131" i="4"/>
  <c r="N131" i="4"/>
  <c r="M131" i="4"/>
  <c r="Q131" i="4" s="1"/>
  <c r="W130" i="4"/>
  <c r="P130" i="4"/>
  <c r="O130" i="4"/>
  <c r="N130" i="4"/>
  <c r="R130" i="4" s="1"/>
  <c r="M130" i="4"/>
  <c r="Q130" i="4" s="1"/>
  <c r="W129" i="4"/>
  <c r="P129" i="4"/>
  <c r="O129" i="4"/>
  <c r="N129" i="4"/>
  <c r="M129" i="4"/>
  <c r="Q129" i="4" s="1"/>
  <c r="W128" i="4"/>
  <c r="P128" i="4"/>
  <c r="O128" i="4"/>
  <c r="N128" i="4"/>
  <c r="M128" i="4"/>
  <c r="Q128" i="4" s="1"/>
  <c r="W127" i="4"/>
  <c r="R127" i="4"/>
  <c r="P127" i="4"/>
  <c r="O127" i="4"/>
  <c r="N127" i="4"/>
  <c r="M127" i="4"/>
  <c r="W126" i="4"/>
  <c r="P126" i="4"/>
  <c r="O126" i="4"/>
  <c r="N126" i="4"/>
  <c r="R126" i="4" s="1"/>
  <c r="M126" i="4"/>
  <c r="Q126" i="4" s="1"/>
  <c r="W125" i="4"/>
  <c r="P125" i="4"/>
  <c r="O125" i="4"/>
  <c r="N125" i="4"/>
  <c r="M125" i="4"/>
  <c r="Q125" i="4" s="1"/>
  <c r="W124" i="4"/>
  <c r="P124" i="4"/>
  <c r="O124" i="4"/>
  <c r="N124" i="4"/>
  <c r="R124" i="4" s="1"/>
  <c r="M124" i="4"/>
  <c r="Q124" i="4" s="1"/>
  <c r="W123" i="4"/>
  <c r="R123" i="4"/>
  <c r="P123" i="4"/>
  <c r="O123" i="4"/>
  <c r="N123" i="4"/>
  <c r="M123" i="4"/>
  <c r="W122" i="4"/>
  <c r="P122" i="4"/>
  <c r="O122" i="4"/>
  <c r="N122" i="4"/>
  <c r="R122" i="4" s="1"/>
  <c r="M122" i="4"/>
  <c r="Q122" i="4" s="1"/>
  <c r="W121" i="4"/>
  <c r="P121" i="4"/>
  <c r="O121" i="4"/>
  <c r="N121" i="4"/>
  <c r="M121" i="4"/>
  <c r="Q121" i="4" s="1"/>
  <c r="W120" i="4"/>
  <c r="P120" i="4"/>
  <c r="O120" i="4"/>
  <c r="N120" i="4"/>
  <c r="M120" i="4"/>
  <c r="Q120" i="4" s="1"/>
  <c r="W119" i="4"/>
  <c r="R119" i="4"/>
  <c r="P119" i="4"/>
  <c r="O119" i="4"/>
  <c r="N119" i="4"/>
  <c r="M119" i="4"/>
  <c r="W118" i="4"/>
  <c r="P118" i="4"/>
  <c r="O118" i="4"/>
  <c r="N118" i="4"/>
  <c r="R118" i="4" s="1"/>
  <c r="M118" i="4"/>
  <c r="Q118" i="4" s="1"/>
  <c r="W117" i="4"/>
  <c r="P117" i="4"/>
  <c r="O117" i="4"/>
  <c r="N117" i="4"/>
  <c r="M117" i="4"/>
  <c r="Q117" i="4" s="1"/>
  <c r="W116" i="4"/>
  <c r="P116" i="4"/>
  <c r="O116" i="4"/>
  <c r="N116" i="4"/>
  <c r="M116" i="4"/>
  <c r="Q116" i="4" s="1"/>
  <c r="W115" i="4"/>
  <c r="R115" i="4"/>
  <c r="P115" i="4"/>
  <c r="O115" i="4"/>
  <c r="N115" i="4"/>
  <c r="M115" i="4"/>
  <c r="W114" i="4"/>
  <c r="P114" i="4"/>
  <c r="O114" i="4"/>
  <c r="N114" i="4"/>
  <c r="R114" i="4" s="1"/>
  <c r="M114" i="4"/>
  <c r="Q114" i="4" s="1"/>
  <c r="W113" i="4"/>
  <c r="P113" i="4"/>
  <c r="O113" i="4"/>
  <c r="N113" i="4"/>
  <c r="M113" i="4"/>
  <c r="Q113" i="4" s="1"/>
  <c r="W112" i="4"/>
  <c r="P112" i="4"/>
  <c r="O112" i="4"/>
  <c r="N112" i="4"/>
  <c r="M112" i="4"/>
  <c r="Q112" i="4" s="1"/>
  <c r="W111" i="4"/>
  <c r="R111" i="4"/>
  <c r="P111" i="4"/>
  <c r="O111" i="4"/>
  <c r="N111" i="4"/>
  <c r="M111" i="4"/>
  <c r="W110" i="4"/>
  <c r="P110" i="4"/>
  <c r="O110" i="4"/>
  <c r="N110" i="4"/>
  <c r="R110" i="4" s="1"/>
  <c r="M110" i="4"/>
  <c r="Q110" i="4" s="1"/>
  <c r="W109" i="4"/>
  <c r="P109" i="4"/>
  <c r="O109" i="4"/>
  <c r="N109" i="4"/>
  <c r="M109" i="4"/>
  <c r="Q109" i="4" s="1"/>
  <c r="W108" i="4"/>
  <c r="P108" i="4"/>
  <c r="O108" i="4"/>
  <c r="N108" i="4"/>
  <c r="M108" i="4"/>
  <c r="Q108" i="4" s="1"/>
  <c r="W107" i="4"/>
  <c r="R107" i="4"/>
  <c r="P107" i="4"/>
  <c r="O107" i="4"/>
  <c r="N107" i="4"/>
  <c r="M107" i="4"/>
  <c r="W106" i="4"/>
  <c r="P106" i="4"/>
  <c r="O106" i="4"/>
  <c r="N106" i="4"/>
  <c r="R106" i="4" s="1"/>
  <c r="M106" i="4"/>
  <c r="Q106" i="4" s="1"/>
  <c r="W105" i="4"/>
  <c r="P105" i="4"/>
  <c r="O105" i="4"/>
  <c r="N105" i="4"/>
  <c r="R105" i="4" s="1"/>
  <c r="M105" i="4"/>
  <c r="Q105" i="4" s="1"/>
  <c r="W104" i="4"/>
  <c r="P104" i="4"/>
  <c r="O104" i="4"/>
  <c r="N104" i="4"/>
  <c r="R104" i="4" s="1"/>
  <c r="M104" i="4"/>
  <c r="Q104" i="4" s="1"/>
  <c r="W103" i="4"/>
  <c r="R103" i="4"/>
  <c r="P103" i="4"/>
  <c r="O103" i="4"/>
  <c r="N103" i="4"/>
  <c r="M103" i="4"/>
  <c r="Q103" i="4" s="1"/>
  <c r="W102" i="4"/>
  <c r="P102" i="4"/>
  <c r="O102" i="4"/>
  <c r="N102" i="4"/>
  <c r="R102" i="4" s="1"/>
  <c r="M102" i="4"/>
  <c r="Q102" i="4" s="1"/>
  <c r="W101" i="4"/>
  <c r="P101" i="4"/>
  <c r="O101" i="4"/>
  <c r="N101" i="4"/>
  <c r="R101" i="4" s="1"/>
  <c r="M101" i="4"/>
  <c r="Q101" i="4" s="1"/>
  <c r="W100" i="4"/>
  <c r="P100" i="4"/>
  <c r="O100" i="4"/>
  <c r="N100" i="4"/>
  <c r="M100" i="4"/>
  <c r="Q100" i="4" s="1"/>
  <c r="W99" i="4"/>
  <c r="P99" i="4"/>
  <c r="O99" i="4"/>
  <c r="N99" i="4"/>
  <c r="R99" i="4" s="1"/>
  <c r="M99" i="4"/>
  <c r="W98" i="4"/>
  <c r="P98" i="4"/>
  <c r="O98" i="4"/>
  <c r="N98" i="4"/>
  <c r="R98" i="4" s="1"/>
  <c r="M98" i="4"/>
  <c r="Q98" i="4" s="1"/>
  <c r="W97" i="4"/>
  <c r="P97" i="4"/>
  <c r="O97" i="4"/>
  <c r="N97" i="4"/>
  <c r="R97" i="4" s="1"/>
  <c r="M97" i="4"/>
  <c r="Q97" i="4" s="1"/>
  <c r="W96" i="4"/>
  <c r="P96" i="4"/>
  <c r="O96" i="4"/>
  <c r="N96" i="4"/>
  <c r="R96" i="4" s="1"/>
  <c r="M96" i="4"/>
  <c r="Q96" i="4" s="1"/>
  <c r="W95" i="4"/>
  <c r="P95" i="4"/>
  <c r="O95" i="4"/>
  <c r="N95" i="4"/>
  <c r="R95" i="4" s="1"/>
  <c r="M95" i="4"/>
  <c r="Q95" i="4" s="1"/>
  <c r="W94" i="4"/>
  <c r="P94" i="4"/>
  <c r="O94" i="4"/>
  <c r="N94" i="4"/>
  <c r="R94" i="4" s="1"/>
  <c r="M94" i="4"/>
  <c r="Q94" i="4" s="1"/>
  <c r="W93" i="4"/>
  <c r="P93" i="4"/>
  <c r="O93" i="4"/>
  <c r="N93" i="4"/>
  <c r="R93" i="4" s="1"/>
  <c r="M93" i="4"/>
  <c r="Q93" i="4" s="1"/>
  <c r="W92" i="4"/>
  <c r="P92" i="4"/>
  <c r="O92" i="4"/>
  <c r="N92" i="4"/>
  <c r="R92" i="4" s="1"/>
  <c r="M92" i="4"/>
  <c r="Q92" i="4" s="1"/>
  <c r="W91" i="4"/>
  <c r="P91" i="4"/>
  <c r="O91" i="4"/>
  <c r="N91" i="4"/>
  <c r="R91" i="4" s="1"/>
  <c r="M91" i="4"/>
  <c r="Q91" i="4" s="1"/>
  <c r="W90" i="4"/>
  <c r="P90" i="4"/>
  <c r="O90" i="4"/>
  <c r="N90" i="4"/>
  <c r="R90" i="4" s="1"/>
  <c r="M90" i="4"/>
  <c r="Q90" i="4" s="1"/>
  <c r="W89" i="4"/>
  <c r="P89" i="4"/>
  <c r="O89" i="4"/>
  <c r="N89" i="4"/>
  <c r="R89" i="4" s="1"/>
  <c r="M89" i="4"/>
  <c r="Q89" i="4" s="1"/>
  <c r="W88" i="4"/>
  <c r="P88" i="4"/>
  <c r="O88" i="4"/>
  <c r="N88" i="4"/>
  <c r="R88" i="4" s="1"/>
  <c r="M88" i="4"/>
  <c r="Q88" i="4" s="1"/>
  <c r="W87" i="4"/>
  <c r="P87" i="4"/>
  <c r="O87" i="4"/>
  <c r="N87" i="4"/>
  <c r="R87" i="4" s="1"/>
  <c r="M87" i="4"/>
  <c r="Q87" i="4" s="1"/>
  <c r="W86" i="4"/>
  <c r="P86" i="4"/>
  <c r="O86" i="4"/>
  <c r="N86" i="4"/>
  <c r="R86" i="4" s="1"/>
  <c r="M86" i="4"/>
  <c r="Q86" i="4" s="1"/>
  <c r="W85" i="4"/>
  <c r="P85" i="4"/>
  <c r="O85" i="4"/>
  <c r="N85" i="4"/>
  <c r="R85" i="4" s="1"/>
  <c r="M85" i="4"/>
  <c r="Q85" i="4" s="1"/>
  <c r="W84" i="4"/>
  <c r="P84" i="4"/>
  <c r="O84" i="4"/>
  <c r="N84" i="4"/>
  <c r="R84" i="4" s="1"/>
  <c r="M84" i="4"/>
  <c r="Q84" i="4" s="1"/>
  <c r="W83" i="4"/>
  <c r="P83" i="4"/>
  <c r="O83" i="4"/>
  <c r="N83" i="4"/>
  <c r="R83" i="4" s="1"/>
  <c r="M83" i="4"/>
  <c r="Q83" i="4" s="1"/>
  <c r="W82" i="4"/>
  <c r="P82" i="4"/>
  <c r="O82" i="4"/>
  <c r="N82" i="4"/>
  <c r="R82" i="4" s="1"/>
  <c r="M82" i="4"/>
  <c r="Q82" i="4" s="1"/>
  <c r="W81" i="4"/>
  <c r="P81" i="4"/>
  <c r="O81" i="4"/>
  <c r="N81" i="4"/>
  <c r="R81" i="4" s="1"/>
  <c r="M81" i="4"/>
  <c r="Q81" i="4" s="1"/>
  <c r="W80" i="4"/>
  <c r="P80" i="4"/>
  <c r="O80" i="4"/>
  <c r="N80" i="4"/>
  <c r="R80" i="4" s="1"/>
  <c r="M80" i="4"/>
  <c r="Q80" i="4" s="1"/>
  <c r="W79" i="4"/>
  <c r="P79" i="4"/>
  <c r="O79" i="4"/>
  <c r="N79" i="4"/>
  <c r="R79" i="4" s="1"/>
  <c r="M79" i="4"/>
  <c r="Q79" i="4" s="1"/>
  <c r="W78" i="4"/>
  <c r="P78" i="4"/>
  <c r="O78" i="4"/>
  <c r="N78" i="4"/>
  <c r="R78" i="4" s="1"/>
  <c r="M78" i="4"/>
  <c r="Q78" i="4" s="1"/>
  <c r="W77" i="4"/>
  <c r="P77" i="4"/>
  <c r="O77" i="4"/>
  <c r="N77" i="4"/>
  <c r="R77" i="4" s="1"/>
  <c r="M77" i="4"/>
  <c r="Q77" i="4" s="1"/>
  <c r="W76" i="4"/>
  <c r="P76" i="4"/>
  <c r="O76" i="4"/>
  <c r="N76" i="4"/>
  <c r="R76" i="4" s="1"/>
  <c r="M76" i="4"/>
  <c r="Q76" i="4" s="1"/>
  <c r="W75" i="4"/>
  <c r="P75" i="4"/>
  <c r="O75" i="4"/>
  <c r="N75" i="4"/>
  <c r="R75" i="4" s="1"/>
  <c r="M75" i="4"/>
  <c r="Q75" i="4" s="1"/>
  <c r="W74" i="4"/>
  <c r="P74" i="4"/>
  <c r="O74" i="4"/>
  <c r="N74" i="4"/>
  <c r="R74" i="4" s="1"/>
  <c r="M74" i="4"/>
  <c r="Q74" i="4" s="1"/>
  <c r="W73" i="4"/>
  <c r="P73" i="4"/>
  <c r="O73" i="4"/>
  <c r="N73" i="4"/>
  <c r="R73" i="4" s="1"/>
  <c r="M73" i="4"/>
  <c r="Q73" i="4" s="1"/>
  <c r="W72" i="4"/>
  <c r="P72" i="4"/>
  <c r="O72" i="4"/>
  <c r="N72" i="4"/>
  <c r="R72" i="4" s="1"/>
  <c r="M72" i="4"/>
  <c r="Q72" i="4" s="1"/>
  <c r="W71" i="4"/>
  <c r="P71" i="4"/>
  <c r="O71" i="4"/>
  <c r="N71" i="4"/>
  <c r="R71" i="4" s="1"/>
  <c r="M71" i="4"/>
  <c r="Q71" i="4" s="1"/>
  <c r="W70" i="4"/>
  <c r="P70" i="4"/>
  <c r="O70" i="4"/>
  <c r="N70" i="4"/>
  <c r="R70" i="4" s="1"/>
  <c r="M70" i="4"/>
  <c r="Q70" i="4" s="1"/>
  <c r="W69" i="4"/>
  <c r="P69" i="4"/>
  <c r="O69" i="4"/>
  <c r="N69" i="4"/>
  <c r="R69" i="4" s="1"/>
  <c r="M69" i="4"/>
  <c r="Q69" i="4" s="1"/>
  <c r="W68" i="4"/>
  <c r="P68" i="4"/>
  <c r="O68" i="4"/>
  <c r="N68" i="4"/>
  <c r="R68" i="4" s="1"/>
  <c r="M68" i="4"/>
  <c r="Q68" i="4" s="1"/>
  <c r="W67" i="4"/>
  <c r="P67" i="4"/>
  <c r="O67" i="4"/>
  <c r="N67" i="4"/>
  <c r="R67" i="4" s="1"/>
  <c r="M67" i="4"/>
  <c r="Q67" i="4" s="1"/>
  <c r="W66" i="4"/>
  <c r="P66" i="4"/>
  <c r="O66" i="4"/>
  <c r="N66" i="4"/>
  <c r="R66" i="4" s="1"/>
  <c r="M66" i="4"/>
  <c r="Q66" i="4" s="1"/>
  <c r="W65" i="4"/>
  <c r="P65" i="4"/>
  <c r="O65" i="4"/>
  <c r="N65" i="4"/>
  <c r="R65" i="4" s="1"/>
  <c r="M65" i="4"/>
  <c r="Q65" i="4" s="1"/>
  <c r="W64" i="4"/>
  <c r="P64" i="4"/>
  <c r="O64" i="4"/>
  <c r="N64" i="4"/>
  <c r="R64" i="4" s="1"/>
  <c r="M64" i="4"/>
  <c r="Q64" i="4" s="1"/>
  <c r="W63" i="4"/>
  <c r="P63" i="4"/>
  <c r="O63" i="4"/>
  <c r="N63" i="4"/>
  <c r="R63" i="4" s="1"/>
  <c r="M63" i="4"/>
  <c r="Q63" i="4" s="1"/>
  <c r="W62" i="4"/>
  <c r="P62" i="4"/>
  <c r="O62" i="4"/>
  <c r="N62" i="4"/>
  <c r="R62" i="4" s="1"/>
  <c r="M62" i="4"/>
  <c r="Q62" i="4" s="1"/>
  <c r="W61" i="4"/>
  <c r="P61" i="4"/>
  <c r="O61" i="4"/>
  <c r="N61" i="4"/>
  <c r="R61" i="4" s="1"/>
  <c r="M61" i="4"/>
  <c r="Q61" i="4" s="1"/>
  <c r="W60" i="4"/>
  <c r="P60" i="4"/>
  <c r="O60" i="4"/>
  <c r="N60" i="4"/>
  <c r="R60" i="4" s="1"/>
  <c r="M60" i="4"/>
  <c r="Q60" i="4" s="1"/>
  <c r="W59" i="4"/>
  <c r="P59" i="4"/>
  <c r="O59" i="4"/>
  <c r="N59" i="4"/>
  <c r="R59" i="4" s="1"/>
  <c r="M59" i="4"/>
  <c r="Q59" i="4" s="1"/>
  <c r="W58" i="4"/>
  <c r="P58" i="4"/>
  <c r="O58" i="4"/>
  <c r="N58" i="4"/>
  <c r="R58" i="4" s="1"/>
  <c r="M58" i="4"/>
  <c r="Q58" i="4" s="1"/>
  <c r="W57" i="4"/>
  <c r="P57" i="4"/>
  <c r="O57" i="4"/>
  <c r="N57" i="4"/>
  <c r="R57" i="4" s="1"/>
  <c r="M57" i="4"/>
  <c r="Q57" i="4" s="1"/>
  <c r="W56" i="4"/>
  <c r="P56" i="4"/>
  <c r="O56" i="4"/>
  <c r="N56" i="4"/>
  <c r="R56" i="4" s="1"/>
  <c r="M56" i="4"/>
  <c r="Q56" i="4" s="1"/>
  <c r="W55" i="4"/>
  <c r="P55" i="4"/>
  <c r="O55" i="4"/>
  <c r="N55" i="4"/>
  <c r="R55" i="4" s="1"/>
  <c r="M55" i="4"/>
  <c r="Q55" i="4" s="1"/>
  <c r="W54" i="4"/>
  <c r="P54" i="4"/>
  <c r="O54" i="4"/>
  <c r="N54" i="4"/>
  <c r="R54" i="4" s="1"/>
  <c r="M54" i="4"/>
  <c r="Q54" i="4" s="1"/>
  <c r="W53" i="4"/>
  <c r="P53" i="4"/>
  <c r="O53" i="4"/>
  <c r="N53" i="4"/>
  <c r="R53" i="4" s="1"/>
  <c r="M53" i="4"/>
  <c r="Q53" i="4" s="1"/>
  <c r="W52" i="4"/>
  <c r="P52" i="4"/>
  <c r="O52" i="4"/>
  <c r="N52" i="4"/>
  <c r="R52" i="4" s="1"/>
  <c r="M52" i="4"/>
  <c r="Q52" i="4" s="1"/>
  <c r="W51" i="4"/>
  <c r="P51" i="4"/>
  <c r="O51" i="4"/>
  <c r="N51" i="4"/>
  <c r="R51" i="4" s="1"/>
  <c r="M51" i="4"/>
  <c r="Q51" i="4" s="1"/>
  <c r="W50" i="4"/>
  <c r="P50" i="4"/>
  <c r="O50" i="4"/>
  <c r="N50" i="4"/>
  <c r="R50" i="4" s="1"/>
  <c r="M50" i="4"/>
  <c r="Q50" i="4" s="1"/>
  <c r="W49" i="4"/>
  <c r="P49" i="4"/>
  <c r="O49" i="4"/>
  <c r="N49" i="4"/>
  <c r="R49" i="4" s="1"/>
  <c r="M49" i="4"/>
  <c r="Q49" i="4" s="1"/>
  <c r="W48" i="4"/>
  <c r="P48" i="4"/>
  <c r="O48" i="4"/>
  <c r="N48" i="4"/>
  <c r="R48" i="4" s="1"/>
  <c r="M48" i="4"/>
  <c r="Q48" i="4" s="1"/>
  <c r="W47" i="4"/>
  <c r="P47" i="4"/>
  <c r="O47" i="4"/>
  <c r="N47" i="4"/>
  <c r="R47" i="4" s="1"/>
  <c r="M47" i="4"/>
  <c r="Q47" i="4" s="1"/>
  <c r="W46" i="4"/>
  <c r="P46" i="4"/>
  <c r="O46" i="4"/>
  <c r="N46" i="4"/>
  <c r="R46" i="4" s="1"/>
  <c r="M46" i="4"/>
  <c r="Q46" i="4" s="1"/>
  <c r="W45" i="4"/>
  <c r="P45" i="4"/>
  <c r="O45" i="4"/>
  <c r="N45" i="4"/>
  <c r="R45" i="4" s="1"/>
  <c r="M45" i="4"/>
  <c r="Q45" i="4" s="1"/>
  <c r="W44" i="4"/>
  <c r="P44" i="4"/>
  <c r="O44" i="4"/>
  <c r="N44" i="4"/>
  <c r="R44" i="4" s="1"/>
  <c r="M44" i="4"/>
  <c r="Q44" i="4" s="1"/>
  <c r="W43" i="4"/>
  <c r="P43" i="4"/>
  <c r="O43" i="4"/>
  <c r="N43" i="4"/>
  <c r="R43" i="4" s="1"/>
  <c r="M43" i="4"/>
  <c r="Q43" i="4" s="1"/>
  <c r="W42" i="4"/>
  <c r="P42" i="4"/>
  <c r="O42" i="4"/>
  <c r="N42" i="4"/>
  <c r="R42" i="4" s="1"/>
  <c r="M42" i="4"/>
  <c r="Q42" i="4" s="1"/>
  <c r="W41" i="4"/>
  <c r="P41" i="4"/>
  <c r="O41" i="4"/>
  <c r="N41" i="4"/>
  <c r="R41" i="4" s="1"/>
  <c r="M41" i="4"/>
  <c r="Q41" i="4" s="1"/>
  <c r="W40" i="4"/>
  <c r="P40" i="4"/>
  <c r="O40" i="4"/>
  <c r="N40" i="4"/>
  <c r="R40" i="4" s="1"/>
  <c r="M40" i="4"/>
  <c r="Q40" i="4" s="1"/>
  <c r="W39" i="4"/>
  <c r="P39" i="4"/>
  <c r="O39" i="4"/>
  <c r="N39" i="4"/>
  <c r="R39" i="4" s="1"/>
  <c r="M39" i="4"/>
  <c r="Q39" i="4" s="1"/>
  <c r="W38" i="4"/>
  <c r="P38" i="4"/>
  <c r="O38" i="4"/>
  <c r="N38" i="4"/>
  <c r="R38" i="4" s="1"/>
  <c r="M38" i="4"/>
  <c r="Q38" i="4" s="1"/>
  <c r="W37" i="4"/>
  <c r="P37" i="4"/>
  <c r="O37" i="4"/>
  <c r="N37" i="4"/>
  <c r="R37" i="4" s="1"/>
  <c r="M37" i="4"/>
  <c r="Q37" i="4" s="1"/>
  <c r="W36" i="4"/>
  <c r="P36" i="4"/>
  <c r="O36" i="4"/>
  <c r="N36" i="4"/>
  <c r="R36" i="4" s="1"/>
  <c r="M36" i="4"/>
  <c r="Q36" i="4" s="1"/>
  <c r="W35" i="4"/>
  <c r="P35" i="4"/>
  <c r="O35" i="4"/>
  <c r="N35" i="4"/>
  <c r="R35" i="4" s="1"/>
  <c r="M35" i="4"/>
  <c r="Q35" i="4" s="1"/>
  <c r="W34" i="4"/>
  <c r="P34" i="4"/>
  <c r="O34" i="4"/>
  <c r="N34" i="4"/>
  <c r="R34" i="4" s="1"/>
  <c r="M34" i="4"/>
  <c r="Q34" i="4" s="1"/>
  <c r="W33" i="4"/>
  <c r="P33" i="4"/>
  <c r="O33" i="4"/>
  <c r="N33" i="4"/>
  <c r="R33" i="4" s="1"/>
  <c r="M33" i="4"/>
  <c r="Q33" i="4" s="1"/>
  <c r="W32" i="4"/>
  <c r="P32" i="4"/>
  <c r="O32" i="4"/>
  <c r="N32" i="4"/>
  <c r="R32" i="4" s="1"/>
  <c r="M32" i="4"/>
  <c r="Q32" i="4" s="1"/>
  <c r="W31" i="4"/>
  <c r="P31" i="4"/>
  <c r="O31" i="4"/>
  <c r="N31" i="4"/>
  <c r="R31" i="4" s="1"/>
  <c r="M31" i="4"/>
  <c r="Q31" i="4" s="1"/>
  <c r="W30" i="4"/>
  <c r="P30" i="4"/>
  <c r="O30" i="4"/>
  <c r="N30" i="4"/>
  <c r="R30" i="4" s="1"/>
  <c r="M30" i="4"/>
  <c r="Q30" i="4" s="1"/>
  <c r="W29" i="4"/>
  <c r="P29" i="4"/>
  <c r="O29" i="4"/>
  <c r="N29" i="4"/>
  <c r="R29" i="4" s="1"/>
  <c r="M29" i="4"/>
  <c r="Q29" i="4" s="1"/>
  <c r="W28" i="4"/>
  <c r="P28" i="4"/>
  <c r="O28" i="4"/>
  <c r="N28" i="4"/>
  <c r="K72" i="6" s="1"/>
  <c r="M28" i="4"/>
  <c r="J72" i="6" s="1"/>
  <c r="W27" i="4"/>
  <c r="P27" i="4"/>
  <c r="O27" i="4"/>
  <c r="N27" i="4"/>
  <c r="R27" i="4" s="1"/>
  <c r="M27" i="4"/>
  <c r="Q27" i="4" s="1"/>
  <c r="W26" i="4"/>
  <c r="P26" i="4"/>
  <c r="O26" i="4"/>
  <c r="N26" i="4"/>
  <c r="R26" i="4" s="1"/>
  <c r="M26" i="4"/>
  <c r="Q26" i="4" s="1"/>
  <c r="W25" i="4"/>
  <c r="P25" i="4"/>
  <c r="O25" i="4"/>
  <c r="N25" i="4"/>
  <c r="R25" i="4" s="1"/>
  <c r="M25" i="4"/>
  <c r="Q25" i="4" s="1"/>
  <c r="W24" i="4"/>
  <c r="P24" i="4"/>
  <c r="O24" i="4"/>
  <c r="N24" i="4"/>
  <c r="R24" i="4" s="1"/>
  <c r="M24" i="4"/>
  <c r="Q24" i="4" s="1"/>
  <c r="W23" i="4"/>
  <c r="P23" i="4"/>
  <c r="O23" i="4"/>
  <c r="N23" i="4"/>
  <c r="K41" i="6" s="1"/>
  <c r="M23" i="4"/>
  <c r="W22" i="4"/>
  <c r="P22" i="4"/>
  <c r="O22" i="4"/>
  <c r="N22" i="4"/>
  <c r="R22" i="4" s="1"/>
  <c r="M22" i="4"/>
  <c r="Q22" i="4" s="1"/>
  <c r="W21" i="4"/>
  <c r="P21" i="4"/>
  <c r="O21" i="4"/>
  <c r="N21" i="4"/>
  <c r="M21" i="4"/>
  <c r="W20" i="4"/>
  <c r="P20" i="4"/>
  <c r="O20" i="4"/>
  <c r="N20" i="4"/>
  <c r="R20" i="4" s="1"/>
  <c r="M20" i="4"/>
  <c r="Q20" i="4" s="1"/>
  <c r="W19" i="4"/>
  <c r="P19" i="4"/>
  <c r="O19" i="4"/>
  <c r="N19" i="4"/>
  <c r="R19" i="4" s="1"/>
  <c r="M19" i="4"/>
  <c r="Q19" i="4" s="1"/>
  <c r="W18" i="4"/>
  <c r="P18" i="4"/>
  <c r="O18" i="4"/>
  <c r="N18" i="4"/>
  <c r="R18" i="4" s="1"/>
  <c r="M18" i="4"/>
  <c r="Q18" i="4" s="1"/>
  <c r="W17" i="4"/>
  <c r="P17" i="4"/>
  <c r="O17" i="4"/>
  <c r="N17" i="4"/>
  <c r="R17" i="4" s="1"/>
  <c r="M17" i="4"/>
  <c r="Q17" i="4" s="1"/>
  <c r="W16" i="4"/>
  <c r="P16" i="4"/>
  <c r="O16" i="4"/>
  <c r="N16" i="4"/>
  <c r="M16" i="4"/>
  <c r="W15" i="4"/>
  <c r="P15" i="4"/>
  <c r="O15" i="4"/>
  <c r="N15" i="4"/>
  <c r="M15" i="4"/>
  <c r="W14" i="4"/>
  <c r="P14" i="4"/>
  <c r="O14" i="4"/>
  <c r="N14" i="4"/>
  <c r="R14" i="4" s="1"/>
  <c r="M14" i="4"/>
  <c r="Q14" i="4" s="1"/>
  <c r="W13" i="4"/>
  <c r="P13" i="4"/>
  <c r="O13" i="4"/>
  <c r="N13" i="4"/>
  <c r="M13" i="4"/>
  <c r="J67" i="6" s="1"/>
  <c r="W12" i="4"/>
  <c r="P12" i="4"/>
  <c r="O12" i="4"/>
  <c r="N12" i="4"/>
  <c r="M12" i="4"/>
  <c r="W11" i="4"/>
  <c r="P11" i="4"/>
  <c r="O11" i="4"/>
  <c r="N11" i="4"/>
  <c r="M11" i="4"/>
  <c r="W10" i="4"/>
  <c r="P10" i="4"/>
  <c r="O10" i="4"/>
  <c r="N10" i="4"/>
  <c r="R10" i="4" s="1"/>
  <c r="M10" i="4"/>
  <c r="Q10" i="4" s="1"/>
  <c r="W9" i="4"/>
  <c r="P9" i="4"/>
  <c r="O9" i="4"/>
  <c r="N9" i="4"/>
  <c r="M9" i="4"/>
  <c r="W8" i="4"/>
  <c r="P8" i="4"/>
  <c r="O8" i="4"/>
  <c r="N8" i="4"/>
  <c r="K76" i="6" s="1"/>
  <c r="M8" i="4"/>
  <c r="W7" i="4"/>
  <c r="P7" i="4"/>
  <c r="O7" i="4"/>
  <c r="N7" i="4"/>
  <c r="M7" i="4"/>
  <c r="W6" i="4"/>
  <c r="P6" i="4"/>
  <c r="O6" i="4"/>
  <c r="N6" i="4"/>
  <c r="K70" i="6" s="1"/>
  <c r="M6" i="4"/>
  <c r="J70" i="6" s="1"/>
  <c r="W5" i="4"/>
  <c r="P5" i="4"/>
  <c r="O5" i="4"/>
  <c r="N5" i="4"/>
  <c r="M5" i="4"/>
  <c r="W4" i="4"/>
  <c r="P4" i="4"/>
  <c r="O4" i="4"/>
  <c r="N4" i="4"/>
  <c r="M4" i="4"/>
  <c r="W3" i="4"/>
  <c r="P3" i="4"/>
  <c r="O3" i="4"/>
  <c r="N3" i="4"/>
  <c r="M3" i="4"/>
  <c r="W2" i="4"/>
  <c r="P2" i="4"/>
  <c r="O2" i="4"/>
  <c r="N2" i="4"/>
  <c r="M2" i="4"/>
  <c r="R6" i="4" l="1"/>
  <c r="Q13" i="4"/>
  <c r="J71" i="6"/>
  <c r="J45" i="6"/>
  <c r="J29" i="6"/>
  <c r="Q21" i="4"/>
  <c r="J74" i="6"/>
  <c r="J40" i="6"/>
  <c r="J31" i="6"/>
  <c r="Q4" i="4"/>
  <c r="K73" i="6"/>
  <c r="K50" i="6"/>
  <c r="K44" i="6"/>
  <c r="K27" i="6"/>
  <c r="R5" i="4"/>
  <c r="J76" i="6"/>
  <c r="Q8" i="4"/>
  <c r="K59" i="6"/>
  <c r="K38" i="6"/>
  <c r="R9" i="4"/>
  <c r="J28" i="6"/>
  <c r="Q12" i="4"/>
  <c r="K67" i="6"/>
  <c r="R13" i="4"/>
  <c r="J69" i="6"/>
  <c r="Q16" i="4"/>
  <c r="K71" i="6"/>
  <c r="K45" i="6"/>
  <c r="K29" i="6"/>
  <c r="R21" i="4"/>
  <c r="Q28" i="4"/>
  <c r="R100" i="4"/>
  <c r="R108" i="4"/>
  <c r="R112" i="4"/>
  <c r="R116" i="4"/>
  <c r="R120" i="4"/>
  <c r="R128" i="4"/>
  <c r="J73" i="6"/>
  <c r="J44" i="6"/>
  <c r="J27" i="6"/>
  <c r="J50" i="6"/>
  <c r="Q5" i="4"/>
  <c r="J75" i="6"/>
  <c r="J18" i="6"/>
  <c r="J58" i="6"/>
  <c r="J30" i="6"/>
  <c r="J52" i="6"/>
  <c r="J42" i="6"/>
  <c r="Q3" i="4"/>
  <c r="K74" i="6"/>
  <c r="K40" i="6"/>
  <c r="K31" i="6"/>
  <c r="R4" i="4"/>
  <c r="J51" i="6"/>
  <c r="J39" i="6"/>
  <c r="J32" i="6"/>
  <c r="J19" i="6"/>
  <c r="J68" i="6"/>
  <c r="Q7" i="4"/>
  <c r="R8" i="4"/>
  <c r="J77" i="6"/>
  <c r="J61" i="6"/>
  <c r="Q11" i="4"/>
  <c r="K28" i="6"/>
  <c r="R12" i="4"/>
  <c r="J33" i="6"/>
  <c r="J21" i="6"/>
  <c r="Q15" i="4"/>
  <c r="K69" i="6"/>
  <c r="R16" i="4"/>
  <c r="J41" i="6"/>
  <c r="Q23" i="4"/>
  <c r="R28" i="4"/>
  <c r="Q99" i="4"/>
  <c r="Q107" i="4"/>
  <c r="R109" i="4"/>
  <c r="Q111" i="4"/>
  <c r="R113" i="4"/>
  <c r="Q115" i="4"/>
  <c r="R117" i="4"/>
  <c r="Q119" i="4"/>
  <c r="R121" i="4"/>
  <c r="Q123" i="4"/>
  <c r="R125" i="4"/>
  <c r="Q127" i="4"/>
  <c r="R129" i="4"/>
  <c r="Q132" i="4"/>
  <c r="R137" i="4"/>
  <c r="Q140" i="4"/>
  <c r="R145" i="4"/>
  <c r="Q148" i="4"/>
  <c r="R153" i="4"/>
  <c r="Q156" i="4"/>
  <c r="R161" i="4"/>
  <c r="Q164" i="4"/>
  <c r="R169" i="4"/>
  <c r="Q172" i="4"/>
  <c r="R177" i="4"/>
  <c r="Q180" i="4"/>
  <c r="R185" i="4"/>
  <c r="Q188" i="4"/>
  <c r="R193" i="4"/>
  <c r="Q196" i="4"/>
  <c r="J53" i="6"/>
  <c r="J66" i="6"/>
  <c r="B9" i="6"/>
  <c r="J43" i="6"/>
  <c r="J26" i="6"/>
  <c r="J20" i="6"/>
  <c r="J60" i="6"/>
  <c r="Q2" i="4"/>
  <c r="K75" i="6"/>
  <c r="K58" i="6"/>
  <c r="K52" i="6"/>
  <c r="K42" i="6"/>
  <c r="K30" i="6"/>
  <c r="K18" i="6"/>
  <c r="R3" i="4"/>
  <c r="K77" i="6"/>
  <c r="K61" i="6"/>
  <c r="R11" i="4"/>
  <c r="K33" i="6"/>
  <c r="K21" i="6"/>
  <c r="R15" i="4"/>
  <c r="R23" i="4"/>
  <c r="Q6" i="4"/>
  <c r="K68" i="6"/>
  <c r="K51" i="6"/>
  <c r="K39" i="6"/>
  <c r="K32" i="6"/>
  <c r="K19" i="6"/>
  <c r="R7" i="4"/>
  <c r="K66" i="6"/>
  <c r="K60" i="6"/>
  <c r="K53" i="6"/>
  <c r="K43" i="6"/>
  <c r="K26" i="6"/>
  <c r="K20" i="6"/>
  <c r="B10" i="6"/>
  <c r="K5" i="7" s="1"/>
  <c r="R2" i="4"/>
  <c r="J59" i="6"/>
  <c r="J38" i="6"/>
  <c r="Q9" i="4"/>
  <c r="Q296" i="4"/>
  <c r="B8" i="6"/>
  <c r="I5" i="7" s="1"/>
  <c r="G68" i="6" l="1"/>
  <c r="G51" i="6"/>
  <c r="G39" i="6"/>
  <c r="H68" i="6"/>
  <c r="H51" i="6"/>
  <c r="H39" i="6"/>
  <c r="H32" i="6"/>
  <c r="H19" i="6"/>
  <c r="F68" i="6"/>
  <c r="I68" i="6" s="1"/>
  <c r="F51" i="6"/>
  <c r="I51" i="6" s="1"/>
  <c r="P16" i="6" s="1"/>
  <c r="F39" i="6"/>
  <c r="I39" i="6" s="1"/>
  <c r="G32" i="6"/>
  <c r="G19" i="6"/>
  <c r="F32" i="6"/>
  <c r="I32" i="6" s="1"/>
  <c r="P10" i="6" s="1"/>
  <c r="F19" i="6"/>
  <c r="I19" i="6" s="1"/>
  <c r="H33" i="6"/>
  <c r="H21" i="6"/>
  <c r="G33" i="6"/>
  <c r="G21" i="6"/>
  <c r="F33" i="6"/>
  <c r="F21" i="6"/>
  <c r="C41" i="6"/>
  <c r="E41" i="6" s="1"/>
  <c r="D41" i="6"/>
  <c r="D33" i="6"/>
  <c r="D21" i="6"/>
  <c r="C33" i="6"/>
  <c r="E33" i="6" s="1"/>
  <c r="C21" i="6"/>
  <c r="E21" i="6" s="1"/>
  <c r="G76" i="6"/>
  <c r="F76" i="6"/>
  <c r="I76" i="6" s="1"/>
  <c r="H76" i="6"/>
  <c r="G67" i="6"/>
  <c r="F67" i="6"/>
  <c r="H67" i="6"/>
  <c r="G59" i="6"/>
  <c r="G38" i="6"/>
  <c r="F59" i="6"/>
  <c r="H38" i="6"/>
  <c r="F38" i="6"/>
  <c r="I38" i="6" s="1"/>
  <c r="H59" i="6"/>
  <c r="G66" i="6"/>
  <c r="G60" i="6"/>
  <c r="G53" i="6"/>
  <c r="G43" i="6"/>
  <c r="H60" i="6"/>
  <c r="H43" i="6"/>
  <c r="H26" i="6"/>
  <c r="H20" i="6"/>
  <c r="F60" i="6"/>
  <c r="I60" i="6" s="1"/>
  <c r="H53" i="6"/>
  <c r="F43" i="6"/>
  <c r="I43" i="6" s="1"/>
  <c r="G26" i="6"/>
  <c r="G20" i="6"/>
  <c r="I4" i="6"/>
  <c r="H66" i="6"/>
  <c r="F53" i="6"/>
  <c r="I53" i="6" s="1"/>
  <c r="P18" i="6" s="1"/>
  <c r="F26" i="6"/>
  <c r="F20" i="6"/>
  <c r="I20" i="6" s="1"/>
  <c r="I5" i="6"/>
  <c r="J5" i="6" s="1"/>
  <c r="F66" i="6"/>
  <c r="I66" i="6" s="1"/>
  <c r="B13" i="6"/>
  <c r="E5" i="7" s="1"/>
  <c r="I6" i="6"/>
  <c r="C59" i="6"/>
  <c r="D38" i="6"/>
  <c r="D59" i="6"/>
  <c r="C38" i="6"/>
  <c r="C66" i="6"/>
  <c r="C60" i="6"/>
  <c r="C53" i="6"/>
  <c r="C43" i="6"/>
  <c r="D66" i="6"/>
  <c r="D26" i="6"/>
  <c r="D20" i="6"/>
  <c r="B12" i="6"/>
  <c r="C5" i="7" s="1"/>
  <c r="E5" i="6"/>
  <c r="C26" i="6"/>
  <c r="E26" i="6" s="1"/>
  <c r="C20" i="6"/>
  <c r="E20" i="6" s="1"/>
  <c r="E6" i="6"/>
  <c r="D60" i="6"/>
  <c r="D53" i="6"/>
  <c r="D43" i="6"/>
  <c r="E4" i="6"/>
  <c r="F4" i="6" s="1"/>
  <c r="C77" i="6"/>
  <c r="C61" i="6"/>
  <c r="E61" i="6" s="1"/>
  <c r="D77" i="6"/>
  <c r="D61" i="6"/>
  <c r="C68" i="6"/>
  <c r="C51" i="6"/>
  <c r="C39" i="6"/>
  <c r="D32" i="6"/>
  <c r="D19" i="6"/>
  <c r="C32" i="6"/>
  <c r="E32" i="6" s="1"/>
  <c r="C19" i="6"/>
  <c r="E19" i="6" s="1"/>
  <c r="D68" i="6"/>
  <c r="D51" i="6"/>
  <c r="D39" i="6"/>
  <c r="C72" i="6"/>
  <c r="E72" i="6" s="1"/>
  <c r="D72" i="6"/>
  <c r="G73" i="6"/>
  <c r="G50" i="6"/>
  <c r="G44" i="6"/>
  <c r="F73" i="6"/>
  <c r="F44" i="6"/>
  <c r="I44" i="6" s="1"/>
  <c r="H27" i="6"/>
  <c r="H50" i="6"/>
  <c r="G27" i="6"/>
  <c r="H73" i="6"/>
  <c r="F50" i="6"/>
  <c r="I50" i="6" s="1"/>
  <c r="P15" i="6" s="1"/>
  <c r="F27" i="6"/>
  <c r="I27" i="6" s="1"/>
  <c r="P5" i="6" s="1"/>
  <c r="H44" i="6"/>
  <c r="C70" i="6"/>
  <c r="D70" i="6"/>
  <c r="G75" i="6"/>
  <c r="G58" i="6"/>
  <c r="G52" i="6"/>
  <c r="G42" i="6"/>
  <c r="F75" i="6"/>
  <c r="I75" i="6" s="1"/>
  <c r="H75" i="6"/>
  <c r="H52" i="6"/>
  <c r="H30" i="6"/>
  <c r="F18" i="6"/>
  <c r="F52" i="6"/>
  <c r="I52" i="6" s="1"/>
  <c r="P17" i="6" s="1"/>
  <c r="H42" i="6"/>
  <c r="G30" i="6"/>
  <c r="H58" i="6"/>
  <c r="F42" i="6"/>
  <c r="I42" i="6" s="1"/>
  <c r="F30" i="6"/>
  <c r="H18" i="6"/>
  <c r="F58" i="6"/>
  <c r="I58" i="6" s="1"/>
  <c r="G18" i="6"/>
  <c r="G69" i="6"/>
  <c r="F69" i="6"/>
  <c r="I69" i="6" s="1"/>
  <c r="H69" i="6"/>
  <c r="C73" i="6"/>
  <c r="C50" i="6"/>
  <c r="C44" i="6"/>
  <c r="D50" i="6"/>
  <c r="D27" i="6"/>
  <c r="C27" i="6"/>
  <c r="E27" i="6" s="1"/>
  <c r="D44" i="6"/>
  <c r="D73" i="6"/>
  <c r="G71" i="6"/>
  <c r="G45" i="6"/>
  <c r="F71" i="6"/>
  <c r="I71" i="6" s="1"/>
  <c r="H71" i="6"/>
  <c r="H29" i="6"/>
  <c r="G29" i="6"/>
  <c r="H45" i="6"/>
  <c r="F29" i="6"/>
  <c r="I29" i="6" s="1"/>
  <c r="P7" i="6" s="1"/>
  <c r="F45" i="6"/>
  <c r="I45" i="6" s="1"/>
  <c r="C69" i="6"/>
  <c r="D69" i="6"/>
  <c r="D28" i="6"/>
  <c r="C28" i="6"/>
  <c r="C74" i="6"/>
  <c r="C40" i="6"/>
  <c r="D31" i="6"/>
  <c r="C31" i="6"/>
  <c r="D74" i="6"/>
  <c r="D40" i="6"/>
  <c r="C71" i="6"/>
  <c r="C45" i="6"/>
  <c r="D29" i="6"/>
  <c r="D71" i="6"/>
  <c r="D45" i="6"/>
  <c r="C29" i="6"/>
  <c r="C67" i="6"/>
  <c r="D67" i="6"/>
  <c r="G41" i="6"/>
  <c r="H41" i="6"/>
  <c r="F41" i="6"/>
  <c r="G77" i="6"/>
  <c r="G61" i="6"/>
  <c r="F77" i="6"/>
  <c r="H77" i="6"/>
  <c r="H61" i="6"/>
  <c r="F61" i="6"/>
  <c r="I61" i="6" s="1"/>
  <c r="G72" i="6"/>
  <c r="F72" i="6"/>
  <c r="I72" i="6" s="1"/>
  <c r="H72" i="6"/>
  <c r="H28" i="6"/>
  <c r="G28" i="6"/>
  <c r="F28" i="6"/>
  <c r="I28" i="6" s="1"/>
  <c r="P6" i="6" s="1"/>
  <c r="G74" i="6"/>
  <c r="G40" i="6"/>
  <c r="F74" i="6"/>
  <c r="F40" i="6"/>
  <c r="H31" i="6"/>
  <c r="H74" i="6"/>
  <c r="G31" i="6"/>
  <c r="F31" i="6"/>
  <c r="I31" i="6" s="1"/>
  <c r="P9" i="6" s="1"/>
  <c r="H40" i="6"/>
  <c r="C75" i="6"/>
  <c r="C58" i="6"/>
  <c r="C52" i="6"/>
  <c r="C42" i="6"/>
  <c r="E42" i="6" s="1"/>
  <c r="D58" i="6"/>
  <c r="D42" i="6"/>
  <c r="D30" i="6"/>
  <c r="D75" i="6"/>
  <c r="C30" i="6"/>
  <c r="E30" i="6" s="1"/>
  <c r="D52" i="6"/>
  <c r="D18" i="6"/>
  <c r="C18" i="6"/>
  <c r="E18" i="6" s="1"/>
  <c r="C76" i="6"/>
  <c r="E76" i="6" s="1"/>
  <c r="D76" i="6"/>
  <c r="G70" i="6"/>
  <c r="F70" i="6"/>
  <c r="I70" i="6" s="1"/>
  <c r="H70" i="6"/>
  <c r="E75" i="6" l="1"/>
  <c r="E71" i="6"/>
  <c r="I18" i="6"/>
  <c r="E39" i="6"/>
  <c r="E53" i="6"/>
  <c r="I26" i="6"/>
  <c r="P4" i="6" s="1"/>
  <c r="I59" i="6"/>
  <c r="I67" i="6"/>
  <c r="I33" i="6"/>
  <c r="P11" i="6" s="1"/>
  <c r="E40" i="6"/>
  <c r="E44" i="6"/>
  <c r="E51" i="6"/>
  <c r="E60" i="6"/>
  <c r="E52" i="6"/>
  <c r="I40" i="6"/>
  <c r="I41" i="6"/>
  <c r="E67" i="6"/>
  <c r="E74" i="6"/>
  <c r="E69" i="6"/>
  <c r="E50" i="6"/>
  <c r="I30" i="6"/>
  <c r="P8" i="6" s="1"/>
  <c r="E70" i="6"/>
  <c r="E68" i="6"/>
  <c r="E77" i="6"/>
  <c r="F5" i="6"/>
  <c r="E66" i="6"/>
  <c r="E59" i="6"/>
  <c r="E58" i="6"/>
  <c r="I74" i="6"/>
  <c r="I77" i="6"/>
  <c r="E29" i="6"/>
  <c r="E45" i="6"/>
  <c r="E31" i="6"/>
  <c r="E28" i="6"/>
  <c r="E73" i="6"/>
  <c r="I73" i="6"/>
  <c r="F6" i="6"/>
  <c r="E43" i="6"/>
  <c r="E38" i="6"/>
  <c r="J6" i="6"/>
  <c r="J4" i="6"/>
  <c r="I21" i="6"/>
</calcChain>
</file>

<file path=xl/sharedStrings.xml><?xml version="1.0" encoding="utf-8"?>
<sst xmlns="http://schemas.openxmlformats.org/spreadsheetml/2006/main" count="7455" uniqueCount="524">
  <si>
    <t>Priority</t>
  </si>
  <si>
    <t>First_Response_Target_Hours</t>
  </si>
  <si>
    <t>Resolution_Target_Hours</t>
  </si>
  <si>
    <t>Critical</t>
  </si>
  <si>
    <t>High</t>
  </si>
  <si>
    <t>Medium</t>
  </si>
  <si>
    <t>Low</t>
  </si>
  <si>
    <t>Agent_ID</t>
  </si>
  <si>
    <t>Agent_Name</t>
  </si>
  <si>
    <t>Support_Team</t>
  </si>
  <si>
    <t>Experience_Years</t>
  </si>
  <si>
    <t>Location</t>
  </si>
  <si>
    <t>A001</t>
  </si>
  <si>
    <t>Riya Shah</t>
  </si>
  <si>
    <t>Workplace Support</t>
  </si>
  <si>
    <t>Mumbai</t>
  </si>
  <si>
    <t>A002</t>
  </si>
  <si>
    <t>Kabir Mehta</t>
  </si>
  <si>
    <t>Pune</t>
  </si>
  <si>
    <t>A003</t>
  </si>
  <si>
    <t>Aman Verma</t>
  </si>
  <si>
    <t>Identity &amp; Access</t>
  </si>
  <si>
    <t>Bengaluru</t>
  </si>
  <si>
    <t>A004</t>
  </si>
  <si>
    <t>Neha Iyer</t>
  </si>
  <si>
    <t>A005</t>
  </si>
  <si>
    <t>Sana Khan</t>
  </si>
  <si>
    <t>Business Apps</t>
  </si>
  <si>
    <t>A006</t>
  </si>
  <si>
    <t>Arjun Rao</t>
  </si>
  <si>
    <t>Hyderabad</t>
  </si>
  <si>
    <t>A007</t>
  </si>
  <si>
    <t>Meera Nair</t>
  </si>
  <si>
    <t>Network &amp; Infra</t>
  </si>
  <si>
    <t>A008</t>
  </si>
  <si>
    <t>Dev Malhotra</t>
  </si>
  <si>
    <t>Delhi</t>
  </si>
  <si>
    <t>A009</t>
  </si>
  <si>
    <t>Ishita Bose</t>
  </si>
  <si>
    <t>Kolkata</t>
  </si>
  <si>
    <t>A010</t>
  </si>
  <si>
    <t>Rohan Sen</t>
  </si>
  <si>
    <t>A011</t>
  </si>
  <si>
    <t>Tanya Joshi</t>
  </si>
  <si>
    <t>A012</t>
  </si>
  <si>
    <t>Vikram Pillai</t>
  </si>
  <si>
    <t>Row Labels</t>
  </si>
  <si>
    <t>Sum of Experience_Years</t>
  </si>
  <si>
    <t>Grand Total</t>
  </si>
  <si>
    <t>Ticket_ID</t>
  </si>
  <si>
    <t>Created_At</t>
  </si>
  <si>
    <t>First_Response_At</t>
  </si>
  <si>
    <t>Resolved_At</t>
  </si>
  <si>
    <t>Status</t>
  </si>
  <si>
    <t>Issue_Category</t>
  </si>
  <si>
    <t>Department</t>
  </si>
  <si>
    <t>Channel</t>
  </si>
  <si>
    <t>Reopened</t>
  </si>
  <si>
    <t>CSAT_Score</t>
  </si>
  <si>
    <t>Agent_name</t>
  </si>
  <si>
    <t>Support_team</t>
  </si>
  <si>
    <t>Agent_exp</t>
  </si>
  <si>
    <t>Agent_location</t>
  </si>
  <si>
    <t>TKT-0001</t>
  </si>
  <si>
    <t>In Progress</t>
  </si>
  <si>
    <t>Password / Access</t>
  </si>
  <si>
    <t>Marketing</t>
  </si>
  <si>
    <t>Phone</t>
  </si>
  <si>
    <t>No</t>
  </si>
  <si>
    <t>TKT-0002</t>
  </si>
  <si>
    <t>Resolved</t>
  </si>
  <si>
    <t>ERP / Finance App</t>
  </si>
  <si>
    <t>Product</t>
  </si>
  <si>
    <t>Portal</t>
  </si>
  <si>
    <t>TKT-0003</t>
  </si>
  <si>
    <t>Closed</t>
  </si>
  <si>
    <t>CRM / Sales App</t>
  </si>
  <si>
    <t>Engineering</t>
  </si>
  <si>
    <t>TKT-0004</t>
  </si>
  <si>
    <t>Laptop / Hardware</t>
  </si>
  <si>
    <t>Human Resources</t>
  </si>
  <si>
    <t>TKT-0005</t>
  </si>
  <si>
    <t>TKT-0006</t>
  </si>
  <si>
    <t>Server / Connectivity</t>
  </si>
  <si>
    <t>Sales</t>
  </si>
  <si>
    <t>Yes</t>
  </si>
  <si>
    <t>TKT-0007</t>
  </si>
  <si>
    <t>TKT-0008</t>
  </si>
  <si>
    <t>Operations</t>
  </si>
  <si>
    <t>Email</t>
  </si>
  <si>
    <t>TKT-0009</t>
  </si>
  <si>
    <t>TKT-0010</t>
  </si>
  <si>
    <t>Chat</t>
  </si>
  <si>
    <t>TKT-0011</t>
  </si>
  <si>
    <t>Email / Collaboration</t>
  </si>
  <si>
    <t>TKT-0012</t>
  </si>
  <si>
    <t>TKT-0013</t>
  </si>
  <si>
    <t>TKT-0014</t>
  </si>
  <si>
    <t>Printer / Peripheral</t>
  </si>
  <si>
    <t>TKT-0015</t>
  </si>
  <si>
    <t>TKT-0016</t>
  </si>
  <si>
    <t>TKT-0017</t>
  </si>
  <si>
    <t>TKT-0018</t>
  </si>
  <si>
    <t>TKT-0019</t>
  </si>
  <si>
    <t>TKT-0020</t>
  </si>
  <si>
    <t>VPN / Network</t>
  </si>
  <si>
    <t>Legal</t>
  </si>
  <si>
    <t>TKT-0021</t>
  </si>
  <si>
    <t>TKT-0022</t>
  </si>
  <si>
    <t>Finance</t>
  </si>
  <si>
    <t>TKT-0023</t>
  </si>
  <si>
    <t>TKT-0024</t>
  </si>
  <si>
    <t>TKT-0025</t>
  </si>
  <si>
    <t>TKT-0026</t>
  </si>
  <si>
    <t>TKT-0027</t>
  </si>
  <si>
    <t>TKT-0028</t>
  </si>
  <si>
    <t>TKT-0029</t>
  </si>
  <si>
    <t>TKT-0030</t>
  </si>
  <si>
    <t>TKT-0031</t>
  </si>
  <si>
    <t>TKT-0032</t>
  </si>
  <si>
    <t>TKT-0033</t>
  </si>
  <si>
    <t>TKT-0034</t>
  </si>
  <si>
    <t>TKT-0035</t>
  </si>
  <si>
    <t>TKT-0036</t>
  </si>
  <si>
    <t>TKT-0037</t>
  </si>
  <si>
    <t>TKT-0038</t>
  </si>
  <si>
    <t>TKT-0039</t>
  </si>
  <si>
    <t>TKT-0040</t>
  </si>
  <si>
    <t>TKT-0041</t>
  </si>
  <si>
    <t>TKT-0042</t>
  </si>
  <si>
    <t>TKT-0043</t>
  </si>
  <si>
    <t>TKT-0044</t>
  </si>
  <si>
    <t>Pending</t>
  </si>
  <si>
    <t>TKT-0045</t>
  </si>
  <si>
    <t>TKT-0046</t>
  </si>
  <si>
    <t>TKT-0047</t>
  </si>
  <si>
    <t>TKT-0048</t>
  </si>
  <si>
    <t>TKT-0049</t>
  </si>
  <si>
    <t>TKT-0050</t>
  </si>
  <si>
    <t>TKT-0051</t>
  </si>
  <si>
    <t>TKT-0052</t>
  </si>
  <si>
    <t>TKT-0053</t>
  </si>
  <si>
    <t>TKT-0054</t>
  </si>
  <si>
    <t>TKT-0055</t>
  </si>
  <si>
    <t>TKT-0056</t>
  </si>
  <si>
    <t>TKT-0057</t>
  </si>
  <si>
    <t>TKT-0058</t>
  </si>
  <si>
    <t>TKT-0059</t>
  </si>
  <si>
    <t>TKT-0060</t>
  </si>
  <si>
    <t>TKT-0061</t>
  </si>
  <si>
    <t>TKT-0062</t>
  </si>
  <si>
    <t>TKT-0063</t>
  </si>
  <si>
    <t>TKT-0064</t>
  </si>
  <si>
    <t>TKT-0065</t>
  </si>
  <si>
    <t>TKT-0066</t>
  </si>
  <si>
    <t>TKT-0067</t>
  </si>
  <si>
    <t>TKT-0068</t>
  </si>
  <si>
    <t>TKT-0069</t>
  </si>
  <si>
    <t>TKT-0070</t>
  </si>
  <si>
    <t>TKT-0071</t>
  </si>
  <si>
    <t>TKT-0072</t>
  </si>
  <si>
    <t>TKT-0073</t>
  </si>
  <si>
    <t>TKT-0074</t>
  </si>
  <si>
    <t>TKT-0075</t>
  </si>
  <si>
    <t>TKT-0076</t>
  </si>
  <si>
    <t>TKT-0077</t>
  </si>
  <si>
    <t>TKT-0078</t>
  </si>
  <si>
    <t>TKT-0079</t>
  </si>
  <si>
    <t>TKT-0080</t>
  </si>
  <si>
    <t>TKT-0081</t>
  </si>
  <si>
    <t>TKT-0082</t>
  </si>
  <si>
    <t>TKT-0083</t>
  </si>
  <si>
    <t>TKT-0084</t>
  </si>
  <si>
    <t>TKT-0085</t>
  </si>
  <si>
    <t>TKT-0086</t>
  </si>
  <si>
    <t>TKT-0087</t>
  </si>
  <si>
    <t>TKT-0088</t>
  </si>
  <si>
    <t>TKT-0089</t>
  </si>
  <si>
    <t>TKT-0090</t>
  </si>
  <si>
    <t>TKT-0091</t>
  </si>
  <si>
    <t>TKT-0092</t>
  </si>
  <si>
    <t>TKT-0093</t>
  </si>
  <si>
    <t>TKT-0094</t>
  </si>
  <si>
    <t>TKT-0095</t>
  </si>
  <si>
    <t>TKT-0096</t>
  </si>
  <si>
    <t>TKT-0097</t>
  </si>
  <si>
    <t>TKT-0098</t>
  </si>
  <si>
    <t>TKT-0099</t>
  </si>
  <si>
    <t>TKT-0100</t>
  </si>
  <si>
    <t>TKT-0101</t>
  </si>
  <si>
    <t>TKT-0102</t>
  </si>
  <si>
    <t>TKT-0103</t>
  </si>
  <si>
    <t>TKT-0104</t>
  </si>
  <si>
    <t>TKT-0105</t>
  </si>
  <si>
    <t>TKT-0106</t>
  </si>
  <si>
    <t>TKT-0107</t>
  </si>
  <si>
    <t>TKT-0108</t>
  </si>
  <si>
    <t>TKT-0109</t>
  </si>
  <si>
    <t>TKT-0110</t>
  </si>
  <si>
    <t>TKT-0111</t>
  </si>
  <si>
    <t>TKT-0112</t>
  </si>
  <si>
    <t>TKT-0113</t>
  </si>
  <si>
    <t>TKT-0114</t>
  </si>
  <si>
    <t>TKT-0115</t>
  </si>
  <si>
    <t>TKT-0116</t>
  </si>
  <si>
    <t>TKT-0117</t>
  </si>
  <si>
    <t>TKT-0118</t>
  </si>
  <si>
    <t>TKT-0119</t>
  </si>
  <si>
    <t>TKT-0120</t>
  </si>
  <si>
    <t>TKT-0121</t>
  </si>
  <si>
    <t>TKT-0122</t>
  </si>
  <si>
    <t>TKT-0123</t>
  </si>
  <si>
    <t>TKT-0124</t>
  </si>
  <si>
    <t>TKT-0125</t>
  </si>
  <si>
    <t>TKT-0126</t>
  </si>
  <si>
    <t>TKT-0127</t>
  </si>
  <si>
    <t>TKT-0128</t>
  </si>
  <si>
    <t>TKT-0129</t>
  </si>
  <si>
    <t>TKT-0130</t>
  </si>
  <si>
    <t>TKT-0131</t>
  </si>
  <si>
    <t>TKT-0132</t>
  </si>
  <si>
    <t>TKT-0133</t>
  </si>
  <si>
    <t>TKT-0134</t>
  </si>
  <si>
    <t>TKT-0135</t>
  </si>
  <si>
    <t>TKT-0136</t>
  </si>
  <si>
    <t>TKT-0137</t>
  </si>
  <si>
    <t>TKT-0138</t>
  </si>
  <si>
    <t>TKT-0139</t>
  </si>
  <si>
    <t>TKT-0140</t>
  </si>
  <si>
    <t>TKT-0141</t>
  </si>
  <si>
    <t>TKT-0142</t>
  </si>
  <si>
    <t>TKT-0143</t>
  </si>
  <si>
    <t>TKT-0144</t>
  </si>
  <si>
    <t>TKT-0145</t>
  </si>
  <si>
    <t>TKT-0146</t>
  </si>
  <si>
    <t>TKT-0147</t>
  </si>
  <si>
    <t>TKT-0148</t>
  </si>
  <si>
    <t>TKT-0149</t>
  </si>
  <si>
    <t>TKT-0150</t>
  </si>
  <si>
    <t>TKT-0151</t>
  </si>
  <si>
    <t>TKT-0152</t>
  </si>
  <si>
    <t>TKT-0153</t>
  </si>
  <si>
    <t>TKT-0154</t>
  </si>
  <si>
    <t>TKT-0155</t>
  </si>
  <si>
    <t>TKT-0156</t>
  </si>
  <si>
    <t>TKT-0157</t>
  </si>
  <si>
    <t>TKT-0158</t>
  </si>
  <si>
    <t>TKT-0159</t>
  </si>
  <si>
    <t>TKT-0160</t>
  </si>
  <si>
    <t>TKT-0161</t>
  </si>
  <si>
    <t>TKT-0162</t>
  </si>
  <si>
    <t>TKT-0163</t>
  </si>
  <si>
    <t>TKT-0164</t>
  </si>
  <si>
    <t>TKT-0165</t>
  </si>
  <si>
    <t>TKT-0166</t>
  </si>
  <si>
    <t>TKT-0167</t>
  </si>
  <si>
    <t>TKT-0168</t>
  </si>
  <si>
    <t>TKT-0169</t>
  </si>
  <si>
    <t>TKT-0170</t>
  </si>
  <si>
    <t>TKT-0171</t>
  </si>
  <si>
    <t>TKT-0172</t>
  </si>
  <si>
    <t>TKT-0173</t>
  </si>
  <si>
    <t>TKT-0174</t>
  </si>
  <si>
    <t>TKT-0175</t>
  </si>
  <si>
    <t>TKT-0176</t>
  </si>
  <si>
    <t>TKT-0177</t>
  </si>
  <si>
    <t>TKT-0178</t>
  </si>
  <si>
    <t>TKT-0179</t>
  </si>
  <si>
    <t>TKT-0180</t>
  </si>
  <si>
    <t>TKT-0181</t>
  </si>
  <si>
    <t>TKT-0182</t>
  </si>
  <si>
    <t>TKT-0183</t>
  </si>
  <si>
    <t>TKT-0184</t>
  </si>
  <si>
    <t>TKT-0185</t>
  </si>
  <si>
    <t>TKT-0186</t>
  </si>
  <si>
    <t>TKT-0187</t>
  </si>
  <si>
    <t>TKT-0188</t>
  </si>
  <si>
    <t>TKT-0189</t>
  </si>
  <si>
    <t>TKT-0190</t>
  </si>
  <si>
    <t>TKT-0191</t>
  </si>
  <si>
    <t>TKT-0192</t>
  </si>
  <si>
    <t>TKT-0193</t>
  </si>
  <si>
    <t>TKT-0194</t>
  </si>
  <si>
    <t>TKT-0195</t>
  </si>
  <si>
    <t>TKT-0196</t>
  </si>
  <si>
    <t>TKT-0197</t>
  </si>
  <si>
    <t>TKT-0198</t>
  </si>
  <si>
    <t>TKT-0199</t>
  </si>
  <si>
    <t>TKT-0200</t>
  </si>
  <si>
    <t>TKT-0201</t>
  </si>
  <si>
    <t>TKT-0202</t>
  </si>
  <si>
    <t>TKT-0203</t>
  </si>
  <si>
    <t>TKT-0204</t>
  </si>
  <si>
    <t>TKT-0205</t>
  </si>
  <si>
    <t>TKT-0206</t>
  </si>
  <si>
    <t>TKT-0207</t>
  </si>
  <si>
    <t>TKT-0208</t>
  </si>
  <si>
    <t>TKT-0209</t>
  </si>
  <si>
    <t>TKT-0210</t>
  </si>
  <si>
    <t>TKT-0211</t>
  </si>
  <si>
    <t>TKT-0212</t>
  </si>
  <si>
    <t>TKT-0213</t>
  </si>
  <si>
    <t>TKT-0214</t>
  </si>
  <si>
    <t>TKT-0215</t>
  </si>
  <si>
    <t>TKT-0216</t>
  </si>
  <si>
    <t>TKT-0217</t>
  </si>
  <si>
    <t>TKT-0218</t>
  </si>
  <si>
    <t>TKT-0219</t>
  </si>
  <si>
    <t>TKT-0220</t>
  </si>
  <si>
    <t>TKT-0221</t>
  </si>
  <si>
    <t>TKT-0222</t>
  </si>
  <si>
    <t>TKT-0223</t>
  </si>
  <si>
    <t>TKT-0224</t>
  </si>
  <si>
    <t>TKT-0225</t>
  </si>
  <si>
    <t>TKT-0226</t>
  </si>
  <si>
    <t>TKT-0227</t>
  </si>
  <si>
    <t>TKT-0228</t>
  </si>
  <si>
    <t>TKT-0229</t>
  </si>
  <si>
    <t>TKT-0230</t>
  </si>
  <si>
    <t>TKT-0231</t>
  </si>
  <si>
    <t>TKT-0232</t>
  </si>
  <si>
    <t>TKT-0233</t>
  </si>
  <si>
    <t>TKT-0234</t>
  </si>
  <si>
    <t>TKT-0235</t>
  </si>
  <si>
    <t>TKT-0236</t>
  </si>
  <si>
    <t>TKT-0237</t>
  </si>
  <si>
    <t>TKT-0238</t>
  </si>
  <si>
    <t>TKT-0239</t>
  </si>
  <si>
    <t>TKT-0240</t>
  </si>
  <si>
    <t>TKT-0241</t>
  </si>
  <si>
    <t>TKT-0242</t>
  </si>
  <si>
    <t>TKT-0243</t>
  </si>
  <si>
    <t>TKT-0244</t>
  </si>
  <si>
    <t>TKT-0245</t>
  </si>
  <si>
    <t>TKT-0246</t>
  </si>
  <si>
    <t>TKT-0247</t>
  </si>
  <si>
    <t>TKT-0248</t>
  </si>
  <si>
    <t>TKT-0249</t>
  </si>
  <si>
    <t>TKT-0250</t>
  </si>
  <si>
    <t>TKT-0251</t>
  </si>
  <si>
    <t>TKT-0252</t>
  </si>
  <si>
    <t>TKT-0253</t>
  </si>
  <si>
    <t>TKT-0254</t>
  </si>
  <si>
    <t>TKT-0255</t>
  </si>
  <si>
    <t>TKT-0256</t>
  </si>
  <si>
    <t>TKT-0257</t>
  </si>
  <si>
    <t>TKT-0258</t>
  </si>
  <si>
    <t>TKT-0259</t>
  </si>
  <si>
    <t>TKT-0260</t>
  </si>
  <si>
    <t>TKT-0261</t>
  </si>
  <si>
    <t>TKT-0262</t>
  </si>
  <si>
    <t>TKT-0263</t>
  </si>
  <si>
    <t>TKT-0264</t>
  </si>
  <si>
    <t>TKT-0265</t>
  </si>
  <si>
    <t>TKT-0266</t>
  </si>
  <si>
    <t>TKT-0267</t>
  </si>
  <si>
    <t>TKT-0268</t>
  </si>
  <si>
    <t>TKT-0269</t>
  </si>
  <si>
    <t>TKT-0270</t>
  </si>
  <si>
    <t>TKT-0271</t>
  </si>
  <si>
    <t>TKT-0272</t>
  </si>
  <si>
    <t>TKT-0273</t>
  </si>
  <si>
    <t>TKT-0274</t>
  </si>
  <si>
    <t>TKT-0275</t>
  </si>
  <si>
    <t>TKT-0276</t>
  </si>
  <si>
    <t>TKT-0277</t>
  </si>
  <si>
    <t>TKT-0278</t>
  </si>
  <si>
    <t>TKT-0279</t>
  </si>
  <si>
    <t>TKT-0280</t>
  </si>
  <si>
    <t>TKT-0281</t>
  </si>
  <si>
    <t>TKT-0282</t>
  </si>
  <si>
    <t>TKT-0283</t>
  </si>
  <si>
    <t>TKT-0284</t>
  </si>
  <si>
    <t>TKT-0285</t>
  </si>
  <si>
    <t>TKT-0286</t>
  </si>
  <si>
    <t>TKT-0287</t>
  </si>
  <si>
    <t>TKT-0288</t>
  </si>
  <si>
    <t>TKT-0289</t>
  </si>
  <si>
    <t>TKT-0290</t>
  </si>
  <si>
    <t>TKT-0291</t>
  </si>
  <si>
    <t>TKT-0292</t>
  </si>
  <si>
    <t>TKT-0293</t>
  </si>
  <si>
    <t>TKT-0294</t>
  </si>
  <si>
    <t>TKT-0295</t>
  </si>
  <si>
    <t>TKT-0296</t>
  </si>
  <si>
    <t>TKT-0297</t>
  </si>
  <si>
    <t>TKT-0298</t>
  </si>
  <si>
    <t>TKT-0299</t>
  </si>
  <si>
    <t>TKT-0300</t>
  </si>
  <si>
    <t>TKT-0301</t>
  </si>
  <si>
    <t>TKT-0302</t>
  </si>
  <si>
    <t>TKT-0303</t>
  </si>
  <si>
    <t>TKT-0304</t>
  </si>
  <si>
    <t>TKT-0305</t>
  </si>
  <si>
    <t>TKT-0306</t>
  </si>
  <si>
    <t>TKT-0307</t>
  </si>
  <si>
    <t>TKT-0308</t>
  </si>
  <si>
    <t>TKT-0309</t>
  </si>
  <si>
    <t>TKT-0310</t>
  </si>
  <si>
    <t>TKT-0311</t>
  </si>
  <si>
    <t>TKT-0312</t>
  </si>
  <si>
    <t>TKT-0313</t>
  </si>
  <si>
    <t>TKT-0314</t>
  </si>
  <si>
    <t>TKT-0315</t>
  </si>
  <si>
    <t>TKT-0316</t>
  </si>
  <si>
    <t>TKT-0317</t>
  </si>
  <si>
    <t>TKT-0318</t>
  </si>
  <si>
    <t>TKT-0319</t>
  </si>
  <si>
    <t>TKT-0320</t>
  </si>
  <si>
    <t>FINANCE</t>
  </si>
  <si>
    <t>marketing</t>
  </si>
  <si>
    <t>First_Response_Time</t>
  </si>
  <si>
    <t>Total_time</t>
  </si>
  <si>
    <t>Response_SLA_Target</t>
  </si>
  <si>
    <t>Resolution_SLA_Target</t>
  </si>
  <si>
    <t>Response_SLA_Status</t>
  </si>
  <si>
    <t>Resolution_SLA_Status</t>
  </si>
  <si>
    <t>Duplicate</t>
  </si>
  <si>
    <t>IT Helpdesk Operations &amp; SLA Analysis</t>
  </si>
  <si>
    <t>Goal: identify service bottlenecks, SLA breaches, workload imbalance, and service-quality issues.</t>
  </si>
  <si>
    <t>Final output: cleaned analysis table + KPI section + PivotTable analysis + one-page dashboard.</t>
  </si>
  <si>
    <t>Use Agent_ID to enrich tickets from Agent_Master.</t>
  </si>
  <si>
    <t>Use Priority to look up response/resolution targets from SLA_Targets.</t>
  </si>
  <si>
    <t>Intentional issues: inconsistent Department values, 5 duplicate ticket rows, meaningful blank CSAT/resolution cells.</t>
  </si>
  <si>
    <t>Suggested questions: SLA compliance by priority/category/team; workload by team/agent; CSAT vs SLA; reopened-ticket performance; department demand; monthly trend.</t>
  </si>
  <si>
    <t>IT Helpdesk Analysis</t>
  </si>
  <si>
    <t>Overall KPI</t>
  </si>
  <si>
    <t>Value</t>
  </si>
  <si>
    <t>Response SLA Status</t>
  </si>
  <si>
    <t>Tickets</t>
  </si>
  <si>
    <t>Share</t>
  </si>
  <si>
    <t>Resolution SLA Status</t>
  </si>
  <si>
    <t>Issue Category</t>
  </si>
  <si>
    <t>Resolution SLA %</t>
  </si>
  <si>
    <t>Total Tickets</t>
  </si>
  <si>
    <t>Met</t>
  </si>
  <si>
    <t>Closed / Resolved</t>
  </si>
  <si>
    <t>Breached</t>
  </si>
  <si>
    <t>Open / In Progress</t>
  </si>
  <si>
    <t>Reopened Tickets</t>
  </si>
  <si>
    <t>Reopen Rate</t>
  </si>
  <si>
    <t>Avg First Response (hrs)</t>
  </si>
  <si>
    <t>Avg Resolution (hrs)</t>
  </si>
  <si>
    <t>Avg CSAT</t>
  </si>
  <si>
    <t>Response SLA Compliance</t>
  </si>
  <si>
    <t>Resolution SLA Compliance</t>
  </si>
  <si>
    <t>Support Team</t>
  </si>
  <si>
    <t>Priority Analysis</t>
  </si>
  <si>
    <t>Group</t>
  </si>
  <si>
    <t>Resp Met</t>
  </si>
  <si>
    <t>Resp Breached</t>
  </si>
  <si>
    <t>Resp SLA %</t>
  </si>
  <si>
    <t>Res Met</t>
  </si>
  <si>
    <t>Res Breached</t>
  </si>
  <si>
    <t>Res Pending</t>
  </si>
  <si>
    <t>Res SLA %</t>
  </si>
  <si>
    <t>Avg Resp Hrs</t>
  </si>
  <si>
    <t>Avg Res Hrs</t>
  </si>
  <si>
    <t>Issue Category Analysis</t>
  </si>
  <si>
    <t>Department Analysis</t>
  </si>
  <si>
    <t>Support Team Analysis</t>
  </si>
  <si>
    <t>Channel Analysis</t>
  </si>
  <si>
    <t>Agent Performance</t>
  </si>
  <si>
    <t>Department × Issue Category Matrix</t>
  </si>
  <si>
    <t>IT HELPDESK PERFORMANCE</t>
  </si>
  <si>
    <t>320-ticket cleaned portfolio analysis | SLA, workload, customer experience and operational patterns</t>
  </si>
  <si>
    <t>Response SLA</t>
  </si>
  <si>
    <t>Resolution SLA</t>
  </si>
  <si>
    <t>Avg Resolution Hrs</t>
  </si>
  <si>
    <t>Key Business Findings</t>
  </si>
  <si>
    <t>• Password / Access is the largest issue category (57 tickets), followed by Laptop / Hardware (53).</t>
  </si>
  <si>
    <t>• Operations generates the most tickets (50) but has strong resolution SLA performance (~89.8%); Legal and Marketing are weaker (~58–60%).</t>
  </si>
  <si>
    <t>• Server / Connectivity has the weakest resolution SLA compliance (~46.9%); CRM / Sales App is ~50.0%.</t>
  </si>
  <si>
    <t>• Critical tickets receive the fastest service and strongest SLA performance; lower priorities naturally have longer absolute resolution times because targets differ.</t>
  </si>
  <si>
    <t>• Identity &amp; Access performs strongest on resolution SLA (~94.6%), while Business Apps is lowest among support teams (~53.7%).</t>
  </si>
  <si>
    <t>• 36 tickets were reopened (11.3%); use reopened cases with issue category/agent context as a quality follow-up signal, not a standalone performance verdict.</t>
  </si>
  <si>
    <t>Portfolio Findings &amp; Recommendations</t>
  </si>
  <si>
    <t>Area</t>
  </si>
  <si>
    <t>Finding</t>
  </si>
  <si>
    <t>Evidence</t>
  </si>
  <si>
    <t>Interpretation</t>
  </si>
  <si>
    <t>Recommendation</t>
  </si>
  <si>
    <t>Caution</t>
  </si>
  <si>
    <t>Demand</t>
  </si>
  <si>
    <t>Password / Access and Laptop / Hardware drive the most ticket volume.</t>
  </si>
  <si>
    <t>57 and 53 tickets respectively.</t>
  </si>
  <si>
    <t>These are the largest recurring support-demand areas.</t>
  </si>
  <si>
    <t>Prioritize self-service/password workflows and recurring hardware troubleshooting playbooks.</t>
  </si>
  <si>
    <t>Volume does not by itself imply poor service quality.</t>
  </si>
  <si>
    <t>SLA</t>
  </si>
  <si>
    <t>Server / Connectivity and CRM / Sales App have the weakest resolution SLA performance.</t>
  </si>
  <si>
    <t>Resolution SLA ~46.9% and 50.0%.</t>
  </si>
  <si>
    <t>These categories deserve process/root-cause investigation.</t>
  </si>
  <si>
    <t>Review escalation paths, dependencies and common blockers for these categories.</t>
  </si>
  <si>
    <t>SLA targets differ by priority, so compare compliance rather than raw hours alone.</t>
  </si>
  <si>
    <t>Team</t>
  </si>
  <si>
    <t>Business Apps has the lowest resolution SLA compliance among support teams.</t>
  </si>
  <si>
    <t>~53.7% resolution SLA compliance.</t>
  </si>
  <si>
    <t>Application-related cases may be harder to resolve within target.</t>
  </si>
  <si>
    <t>Review ERP/CRM workflows and escalation ownership.</t>
  </si>
  <si>
    <t>Do not infer individual agent quality from team-level results.</t>
  </si>
  <si>
    <t>Strength</t>
  </si>
  <si>
    <t>Identity &amp; Access shows very strong SLA performance.</t>
  </si>
  <si>
    <t>~89.5% response SLA and ~94.6% resolution SLA.</t>
  </si>
  <si>
    <t>Password/access work appears comparatively standardized and predictable.</t>
  </si>
  <si>
    <t>Document and reuse successful workflow patterns where transferable.</t>
  </si>
  <si>
    <t>Different issue complexity limits direct cross-team comparison.</t>
  </si>
  <si>
    <t>Operations has the highest ticket volume.</t>
  </si>
  <si>
    <t>50 tickets; top issues include Email / Collaboration and Password / Access (9 each).</t>
  </si>
  <si>
    <t>High volume can indicate heavier operational dependency on IT.</t>
  </si>
  <si>
    <t>Target recurring Operations issues with focused support content and root-cause review.</t>
  </si>
  <si>
    <t>High volume is not automatically a negative outcome.</t>
  </si>
  <si>
    <t>Quality</t>
  </si>
  <si>
    <t>36 tickets were reopened.</t>
  </si>
  <si>
    <t>11.3% of 320 tickets.</t>
  </si>
  <si>
    <t>Reopened cases can signal incomplete resolution or recurring issues.</t>
  </si>
  <si>
    <t>Review reopened tickets by category/team and sample case notes where available.</t>
  </si>
  <si>
    <t>Reopen status alone does not prove poor agent performance.</t>
  </si>
  <si>
    <t>Customer</t>
  </si>
  <si>
    <t>Average CSAT is strong overall.</t>
  </si>
  <si>
    <t>4.11 across 304 rated tickets.</t>
  </si>
  <si>
    <t>Users generally report positive support experiences.</t>
  </si>
  <si>
    <t>Track CSAT alongside SLA and reopened tickets for a balanced view.</t>
  </si>
  <si>
    <t>16 tickets have no CSAT, and averages can hide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</si>
</sst>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yy\ hh:mm"/>
    <numFmt numFmtId="165" formatCode="0.0"/>
    <numFmt numFmtId="166" formatCode="0.0%"/>
  </numFmts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8"/>
      <color rgb="FFFFFFFF"/>
      <name val="Carlito"/>
    </font>
    <font>
      <i/>
      <sz val="11"/>
      <color rgb="FFFFFFFF"/>
      <name val="Carlito"/>
    </font>
    <font>
      <b/>
      <sz val="16"/>
      <color rgb="FF17365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B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/>
    <xf numFmtId="0" fontId="1" fillId="3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wrapText="1"/>
    </xf>
    <xf numFmtId="164" fontId="1" fillId="3" borderId="0" xfId="0" applyNumberFormat="1" applyFont="1" applyFill="1" applyBorder="1" applyAlignment="1">
      <alignment horizontal="center" wrapText="1"/>
    </xf>
    <xf numFmtId="2" fontId="1" fillId="3" borderId="0" xfId="0" applyNumberFormat="1" applyFont="1" applyFill="1" applyBorder="1" applyAlignment="1">
      <alignment horizontal="center" wrapText="1"/>
    </xf>
    <xf numFmtId="165" fontId="1" fillId="3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/>
    <xf numFmtId="2" fontId="0" fillId="0" borderId="0" xfId="0" applyNumberFormat="1" applyFont="1" applyFill="1" applyBorder="1"/>
    <xf numFmtId="166" fontId="0" fillId="0" borderId="0" xfId="0" applyNumberFormat="1" applyFont="1" applyFill="1" applyBorder="1"/>
    <xf numFmtId="0" fontId="0" fillId="0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/>
    <xf numFmtId="0" fontId="5" fillId="2" borderId="0" xfId="0" applyNumberFormat="1" applyFont="1" applyFill="1" applyBorder="1"/>
    <xf numFmtId="0" fontId="0" fillId="5" borderId="0" xfId="0" applyNumberFormat="1" applyFont="1" applyFill="1" applyBorder="1"/>
    <xf numFmtId="0" fontId="3" fillId="5" borderId="0" xfId="0" applyNumberFormat="1" applyFont="1" applyFill="1" applyBorder="1" applyAlignment="1">
      <alignment horizontal="center" vertical="center"/>
    </xf>
    <xf numFmtId="1" fontId="6" fillId="5" borderId="0" xfId="0" applyNumberFormat="1" applyFont="1" applyFill="1" applyBorder="1" applyAlignment="1">
      <alignment horizontal="center" vertical="center"/>
    </xf>
    <xf numFmtId="166" fontId="6" fillId="5" borderId="0" xfId="0" applyNumberFormat="1" applyFont="1" applyFill="1" applyBorder="1" applyAlignment="1">
      <alignment horizontal="center" vertical="center"/>
    </xf>
    <xf numFmtId="2" fontId="6" fillId="5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Ticket Volume by Issue Category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Tickets</c:v>
          </c:tx>
          <c:invertIfNegative val="1"/>
          <c:cat>
            <c:strRef>
              <c:f>Analysis!$A$26:$A$33</c:f>
              <c:strCache>
                <c:ptCount val="8"/>
                <c:pt idx="0">
                  <c:v>Password / Access</c:v>
                </c:pt>
                <c:pt idx="1">
                  <c:v>Laptop / Hardware</c:v>
                </c:pt>
                <c:pt idx="2">
                  <c:v>Email / Collaboration</c:v>
                </c:pt>
                <c:pt idx="3">
                  <c:v>VPN / Network</c:v>
                </c:pt>
                <c:pt idx="4">
                  <c:v>ERP / Finance App</c:v>
                </c:pt>
                <c:pt idx="5">
                  <c:v>CRM / Sales App</c:v>
                </c:pt>
                <c:pt idx="6">
                  <c:v>Server / Connectivity</c:v>
                </c:pt>
                <c:pt idx="7">
                  <c:v>Printer / Peripheral</c:v>
                </c:pt>
              </c:strCache>
            </c:strRef>
          </c:cat>
          <c:val>
            <c:numRef>
              <c:f>Analysis!$B$26:$B$33</c:f>
              <c:numCache>
                <c:formatCode>General</c:formatCode>
                <c:ptCount val="8"/>
                <c:pt idx="0">
                  <c:v>57</c:v>
                </c:pt>
                <c:pt idx="1">
                  <c:v>53</c:v>
                </c:pt>
                <c:pt idx="2">
                  <c:v>45</c:v>
                </c:pt>
                <c:pt idx="3">
                  <c:v>40</c:v>
                </c:pt>
                <c:pt idx="4">
                  <c:v>36</c:v>
                </c:pt>
                <c:pt idx="5">
                  <c:v>35</c:v>
                </c:pt>
                <c:pt idx="6">
                  <c:v>34</c:v>
                </c:pt>
                <c:pt idx="7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86651936"/>
        <c:axId val="-586653568"/>
      </c:barChart>
      <c:catAx>
        <c:axId val="-586651936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586653568"/>
        <c:crosses val="autoZero"/>
        <c:auto val="1"/>
        <c:lblAlgn val="ctr"/>
        <c:lblOffset val="100"/>
        <c:noMultiLvlLbl val="0"/>
      </c:catAx>
      <c:valAx>
        <c:axId val="-5866535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586651936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Ticket Volume by Department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Tickets</c:v>
          </c:tx>
          <c:invertIfNegative val="1"/>
          <c:cat>
            <c:strRef>
              <c:f>Analysis!$A$38:$A$45</c:f>
              <c:strCache>
                <c:ptCount val="8"/>
                <c:pt idx="0">
                  <c:v>Operations</c:v>
                </c:pt>
                <c:pt idx="1">
                  <c:v>Sales</c:v>
                </c:pt>
                <c:pt idx="2">
                  <c:v>Engineering</c:v>
                </c:pt>
                <c:pt idx="3">
                  <c:v>Finance</c:v>
                </c:pt>
                <c:pt idx="4">
                  <c:v>Product</c:v>
                </c:pt>
                <c:pt idx="5">
                  <c:v>Marketing</c:v>
                </c:pt>
                <c:pt idx="6">
                  <c:v>Human Resources</c:v>
                </c:pt>
                <c:pt idx="7">
                  <c:v>Legal</c:v>
                </c:pt>
              </c:strCache>
            </c:strRef>
          </c:cat>
          <c:val>
            <c:numRef>
              <c:f>Analysis!$B$38:$B$45</c:f>
              <c:numCache>
                <c:formatCode>General</c:formatCode>
                <c:ptCount val="8"/>
                <c:pt idx="0">
                  <c:v>50</c:v>
                </c:pt>
                <c:pt idx="1">
                  <c:v>44</c:v>
                </c:pt>
                <c:pt idx="2">
                  <c:v>43</c:v>
                </c:pt>
                <c:pt idx="3">
                  <c:v>40</c:v>
                </c:pt>
                <c:pt idx="4">
                  <c:v>38</c:v>
                </c:pt>
                <c:pt idx="5">
                  <c:v>37</c:v>
                </c:pt>
                <c:pt idx="6">
                  <c:v>37</c:v>
                </c:pt>
                <c:pt idx="7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86665536"/>
        <c:axId val="-586653024"/>
      </c:barChart>
      <c:catAx>
        <c:axId val="-586665536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586653024"/>
        <c:crosses val="autoZero"/>
        <c:auto val="1"/>
        <c:lblAlgn val="ctr"/>
        <c:lblOffset val="100"/>
        <c:noMultiLvlLbl val="0"/>
      </c:catAx>
      <c:valAx>
        <c:axId val="-586653024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586665536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Resolution SLA % by Issue Category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Resolution SLA %</c:v>
          </c:tx>
          <c:invertIfNegative val="1"/>
          <c:cat>
            <c:strRef>
              <c:f>Analysis!$O$4:$O$11</c:f>
              <c:strCache>
                <c:ptCount val="8"/>
                <c:pt idx="0">
                  <c:v>Password / Access</c:v>
                </c:pt>
                <c:pt idx="1">
                  <c:v>Laptop / Hardware</c:v>
                </c:pt>
                <c:pt idx="2">
                  <c:v>Email / Collaboration</c:v>
                </c:pt>
                <c:pt idx="3">
                  <c:v>VPN / Network</c:v>
                </c:pt>
                <c:pt idx="4">
                  <c:v>ERP / Finance App</c:v>
                </c:pt>
                <c:pt idx="5">
                  <c:v>CRM / Sales App</c:v>
                </c:pt>
                <c:pt idx="6">
                  <c:v>Server / Connectivity</c:v>
                </c:pt>
                <c:pt idx="7">
                  <c:v>Printer / Peripheral</c:v>
                </c:pt>
              </c:strCache>
            </c:strRef>
          </c:cat>
          <c:val>
            <c:numRef>
              <c:f>Analysis!$P$4:$P$11</c:f>
              <c:numCache>
                <c:formatCode>0.0%</c:formatCode>
                <c:ptCount val="8"/>
                <c:pt idx="0">
                  <c:v>0.9464285714285714</c:v>
                </c:pt>
                <c:pt idx="1">
                  <c:v>0.60416666666666663</c:v>
                </c:pt>
                <c:pt idx="2">
                  <c:v>0.7857142857142857</c:v>
                </c:pt>
                <c:pt idx="3">
                  <c:v>0.74358974358974361</c:v>
                </c:pt>
                <c:pt idx="4">
                  <c:v>0.5714285714285714</c:v>
                </c:pt>
                <c:pt idx="5">
                  <c:v>0.5</c:v>
                </c:pt>
                <c:pt idx="6">
                  <c:v>0.46875</c:v>
                </c:pt>
                <c:pt idx="7">
                  <c:v>0.9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97602816"/>
        <c:axId val="-534322384"/>
      </c:barChart>
      <c:catAx>
        <c:axId val="-697602816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534322384"/>
        <c:crosses val="autoZero"/>
        <c:auto val="1"/>
        <c:lblAlgn val="ctr"/>
        <c:lblOffset val="100"/>
        <c:noMultiLvlLbl val="0"/>
      </c:catAx>
      <c:valAx>
        <c:axId val="-534322384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-697602816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Resolution SLA % by Support Team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Resolution SLA %</c:v>
          </c:tx>
          <c:invertIfNegative val="1"/>
          <c:cat>
            <c:strRef>
              <c:f>Analysis!$O$15:$O$18</c:f>
              <c:strCache>
                <c:ptCount val="4"/>
                <c:pt idx="0">
                  <c:v>Workplace Support</c:v>
                </c:pt>
                <c:pt idx="1">
                  <c:v>Network &amp; Infra</c:v>
                </c:pt>
                <c:pt idx="2">
                  <c:v>Business Apps</c:v>
                </c:pt>
                <c:pt idx="3">
                  <c:v>Identity &amp; Access</c:v>
                </c:pt>
              </c:strCache>
            </c:strRef>
          </c:cat>
          <c:val>
            <c:numRef>
              <c:f>Analysis!$P$15:$P$18</c:f>
              <c:numCache>
                <c:formatCode>0.0%</c:formatCode>
                <c:ptCount val="4"/>
                <c:pt idx="0">
                  <c:v>0.72727272727272729</c:v>
                </c:pt>
                <c:pt idx="1">
                  <c:v>0.61971830985915488</c:v>
                </c:pt>
                <c:pt idx="2">
                  <c:v>0.53731343283582089</c:v>
                </c:pt>
                <c:pt idx="3">
                  <c:v>0.9464285714285714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34321296"/>
        <c:axId val="-534321840"/>
      </c:barChart>
      <c:catAx>
        <c:axId val="-534321296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534321840"/>
        <c:crosses val="autoZero"/>
        <c:auto val="1"/>
        <c:lblAlgn val="ctr"/>
        <c:lblOffset val="100"/>
        <c:noMultiLvlLbl val="0"/>
      </c:catAx>
      <c:valAx>
        <c:axId val="-534321840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-534321296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6</xdr:col>
      <xdr:colOff>0</xdr:colOff>
      <xdr:row>49</xdr:row>
      <xdr:rowOff>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12</xdr:col>
      <xdr:colOff>0</xdr:colOff>
      <xdr:row>49</xdr:row>
      <xdr:rowOff>0</xdr:rowOff>
    </xdr:to>
    <xdr:graphicFrame macro="">
      <xdr:nvGraphicFramePr>
        <xdr:cNvPr id="5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Tickets" displayName="CleanTickets" ref="A1:W321" totalsRowShown="0">
  <tableColumns count="23">
    <tableColumn id="1" name="Ticket_ID"/>
    <tableColumn id="2" name="Created_At"/>
    <tableColumn id="3" name="First_Response_At"/>
    <tableColumn id="4" name="Resolved_At"/>
    <tableColumn id="5" name="Status"/>
    <tableColumn id="6" name="Priority"/>
    <tableColumn id="7" name="Issue_Category"/>
    <tableColumn id="8" name="Department"/>
    <tableColumn id="9" name="Channel"/>
    <tableColumn id="10" name="Agent_ID"/>
    <tableColumn id="11" name="Reopened"/>
    <tableColumn id="12" name="CSAT_Score"/>
    <tableColumn id="13" name="First_Response_Time"/>
    <tableColumn id="14" name="Total_time"/>
    <tableColumn id="15" name="Response_SLA_Target"/>
    <tableColumn id="16" name="Resolution_SLA_Target"/>
    <tableColumn id="17" name="Response_SLA_Status"/>
    <tableColumn id="18" name="Resolution_SLA_Status"/>
    <tableColumn id="19" name="Agent_name"/>
    <tableColumn id="20" name="Support_team"/>
    <tableColumn id="21" name="Agent_exp"/>
    <tableColumn id="22" name="Agent_location"/>
    <tableColumn id="23" name="Du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"/>
  <cols>
    <col min="1" max="3" width="28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>
        <v>0.5</v>
      </c>
      <c r="C2">
        <v>4</v>
      </c>
    </row>
    <row r="3" spans="1:3">
      <c r="A3" t="s">
        <v>4</v>
      </c>
      <c r="B3">
        <v>1</v>
      </c>
      <c r="C3">
        <v>8</v>
      </c>
    </row>
    <row r="4" spans="1:3">
      <c r="A4" t="s">
        <v>5</v>
      </c>
      <c r="B4">
        <v>4</v>
      </c>
      <c r="C4">
        <v>24</v>
      </c>
    </row>
    <row r="5" spans="1:3">
      <c r="A5" t="s">
        <v>6</v>
      </c>
      <c r="B5">
        <v>8</v>
      </c>
      <c r="C5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4"/>
  <cols>
    <col min="1" max="5" width="20" customWidth="1"/>
  </cols>
  <sheetData>
    <row r="1" spans="1: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>
      <c r="A2" t="s">
        <v>12</v>
      </c>
      <c r="B2" t="s">
        <v>13</v>
      </c>
      <c r="C2" t="s">
        <v>14</v>
      </c>
      <c r="D2">
        <v>4.2</v>
      </c>
      <c r="E2" t="s">
        <v>15</v>
      </c>
    </row>
    <row r="3" spans="1:5">
      <c r="A3" t="s">
        <v>16</v>
      </c>
      <c r="B3" t="s">
        <v>17</v>
      </c>
      <c r="C3" t="s">
        <v>14</v>
      </c>
      <c r="D3">
        <v>2.1</v>
      </c>
      <c r="E3" t="s">
        <v>18</v>
      </c>
    </row>
    <row r="4" spans="1:5">
      <c r="A4" t="s">
        <v>19</v>
      </c>
      <c r="B4" t="s">
        <v>20</v>
      </c>
      <c r="C4" t="s">
        <v>21</v>
      </c>
      <c r="D4">
        <v>5.6</v>
      </c>
      <c r="E4" t="s">
        <v>22</v>
      </c>
    </row>
    <row r="5" spans="1:5">
      <c r="A5" t="s">
        <v>23</v>
      </c>
      <c r="B5" t="s">
        <v>24</v>
      </c>
      <c r="C5" t="s">
        <v>21</v>
      </c>
      <c r="D5">
        <v>3.4</v>
      </c>
      <c r="E5" t="s">
        <v>22</v>
      </c>
    </row>
    <row r="6" spans="1:5">
      <c r="A6" t="s">
        <v>25</v>
      </c>
      <c r="B6" t="s">
        <v>26</v>
      </c>
      <c r="C6" t="s">
        <v>27</v>
      </c>
      <c r="D6">
        <v>6.3</v>
      </c>
      <c r="E6" t="s">
        <v>15</v>
      </c>
    </row>
    <row r="7" spans="1:5">
      <c r="A7" t="s">
        <v>28</v>
      </c>
      <c r="B7" t="s">
        <v>29</v>
      </c>
      <c r="C7" t="s">
        <v>27</v>
      </c>
      <c r="D7">
        <v>1.8</v>
      </c>
      <c r="E7" t="s">
        <v>30</v>
      </c>
    </row>
    <row r="8" spans="1:5">
      <c r="A8" t="s">
        <v>31</v>
      </c>
      <c r="B8" t="s">
        <v>32</v>
      </c>
      <c r="C8" t="s">
        <v>33</v>
      </c>
      <c r="D8">
        <v>7.1</v>
      </c>
      <c r="E8" t="s">
        <v>18</v>
      </c>
    </row>
    <row r="9" spans="1:5">
      <c r="A9" t="s">
        <v>34</v>
      </c>
      <c r="B9" t="s">
        <v>35</v>
      </c>
      <c r="C9" t="s">
        <v>33</v>
      </c>
      <c r="D9">
        <v>3</v>
      </c>
      <c r="E9" t="s">
        <v>36</v>
      </c>
    </row>
    <row r="10" spans="1:5">
      <c r="A10" t="s">
        <v>37</v>
      </c>
      <c r="B10" t="s">
        <v>38</v>
      </c>
      <c r="C10" t="s">
        <v>14</v>
      </c>
      <c r="D10">
        <v>1.2</v>
      </c>
      <c r="E10" t="s">
        <v>39</v>
      </c>
    </row>
    <row r="11" spans="1:5">
      <c r="A11" t="s">
        <v>40</v>
      </c>
      <c r="B11" t="s">
        <v>41</v>
      </c>
      <c r="C11" t="s">
        <v>27</v>
      </c>
      <c r="D11">
        <v>4.8</v>
      </c>
      <c r="E11" t="s">
        <v>39</v>
      </c>
    </row>
    <row r="12" spans="1:5">
      <c r="A12" t="s">
        <v>42</v>
      </c>
      <c r="B12" t="s">
        <v>43</v>
      </c>
      <c r="C12" t="s">
        <v>21</v>
      </c>
      <c r="D12">
        <v>2.7</v>
      </c>
      <c r="E12" t="s">
        <v>36</v>
      </c>
    </row>
    <row r="13" spans="1:5">
      <c r="A13" t="s">
        <v>44</v>
      </c>
      <c r="B13" t="s">
        <v>45</v>
      </c>
      <c r="C13" t="s">
        <v>33</v>
      </c>
      <c r="D13">
        <v>5.0999999999999996</v>
      </c>
      <c r="E13" t="s">
        <v>30</v>
      </c>
    </row>
    <row r="16" spans="1:5">
      <c r="A16" t="s">
        <v>46</v>
      </c>
      <c r="B16" t="s">
        <v>47</v>
      </c>
    </row>
    <row r="17" spans="1:2">
      <c r="A17" t="s">
        <v>27</v>
      </c>
      <c r="B17">
        <v>12.899999999999999</v>
      </c>
    </row>
    <row r="18" spans="1:2">
      <c r="A18" t="s">
        <v>29</v>
      </c>
      <c r="B18">
        <v>1.8</v>
      </c>
    </row>
    <row r="19" spans="1:2">
      <c r="A19" t="s">
        <v>41</v>
      </c>
      <c r="B19">
        <v>4.8</v>
      </c>
    </row>
    <row r="20" spans="1:2">
      <c r="A20" t="s">
        <v>26</v>
      </c>
      <c r="B20">
        <v>6.3</v>
      </c>
    </row>
    <row r="21" spans="1:2">
      <c r="A21" t="s">
        <v>21</v>
      </c>
      <c r="B21">
        <v>11.7</v>
      </c>
    </row>
    <row r="22" spans="1:2">
      <c r="A22" t="s">
        <v>20</v>
      </c>
      <c r="B22">
        <v>5.6</v>
      </c>
    </row>
    <row r="23" spans="1:2">
      <c r="A23" t="s">
        <v>24</v>
      </c>
      <c r="B23">
        <v>3.4</v>
      </c>
    </row>
    <row r="24" spans="1:2">
      <c r="A24" t="s">
        <v>43</v>
      </c>
      <c r="B24">
        <v>2.7</v>
      </c>
    </row>
    <row r="25" spans="1:2">
      <c r="A25" t="s">
        <v>33</v>
      </c>
      <c r="B25">
        <v>15.2</v>
      </c>
    </row>
    <row r="26" spans="1:2">
      <c r="A26" t="s">
        <v>35</v>
      </c>
      <c r="B26">
        <v>3</v>
      </c>
    </row>
    <row r="27" spans="1:2">
      <c r="A27" t="s">
        <v>32</v>
      </c>
      <c r="B27">
        <v>7.1</v>
      </c>
    </row>
    <row r="28" spans="1:2">
      <c r="A28" t="s">
        <v>45</v>
      </c>
      <c r="B28">
        <v>5.0999999999999996</v>
      </c>
    </row>
    <row r="29" spans="1:2">
      <c r="A29" t="s">
        <v>14</v>
      </c>
      <c r="B29">
        <v>7.5000000000000009</v>
      </c>
    </row>
    <row r="30" spans="1:2">
      <c r="A30" t="s">
        <v>38</v>
      </c>
      <c r="B30">
        <v>1.2</v>
      </c>
    </row>
    <row r="31" spans="1:2">
      <c r="A31" t="s">
        <v>17</v>
      </c>
      <c r="B31">
        <v>2.1</v>
      </c>
    </row>
    <row r="32" spans="1:2">
      <c r="A32" t="s">
        <v>13</v>
      </c>
      <c r="B32">
        <v>4.2</v>
      </c>
    </row>
    <row r="33" spans="1:2">
      <c r="A33" t="s">
        <v>48</v>
      </c>
      <c r="B33">
        <v>47.300000000000004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6"/>
  <sheetViews>
    <sheetView workbookViewId="0"/>
  </sheetViews>
  <sheetFormatPr defaultRowHeight="14"/>
  <cols>
    <col min="1" max="16" width="16" customWidth="1"/>
    <col min="17" max="23" width="14" customWidth="1"/>
  </cols>
  <sheetData>
    <row r="1" spans="1:23">
      <c r="A1" s="3" t="s">
        <v>49</v>
      </c>
      <c r="B1" s="4" t="s">
        <v>50</v>
      </c>
      <c r="C1" s="4" t="s">
        <v>51</v>
      </c>
      <c r="D1" s="4" t="s">
        <v>52</v>
      </c>
      <c r="E1" s="3" t="s">
        <v>53</v>
      </c>
      <c r="F1" s="3" t="s">
        <v>0</v>
      </c>
      <c r="G1" s="3" t="s">
        <v>54</v>
      </c>
      <c r="H1" s="3" t="s">
        <v>55</v>
      </c>
      <c r="I1" s="3" t="s">
        <v>56</v>
      </c>
      <c r="J1" s="3" t="s">
        <v>7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  <c r="P1" s="3" t="s">
        <v>62</v>
      </c>
      <c r="Q1" s="3"/>
      <c r="R1" s="3"/>
      <c r="S1" s="3"/>
      <c r="T1" s="3"/>
      <c r="U1" s="3"/>
      <c r="V1" s="3"/>
      <c r="W1" s="3"/>
    </row>
    <row r="2" spans="1:23">
      <c r="A2" t="s">
        <v>63</v>
      </c>
      <c r="B2">
        <v>46175.415509259263</v>
      </c>
      <c r="C2">
        <v>46175.666116828703</v>
      </c>
      <c r="E2" t="s">
        <v>64</v>
      </c>
      <c r="F2" t="s">
        <v>5</v>
      </c>
      <c r="G2" t="s">
        <v>65</v>
      </c>
      <c r="H2" t="s">
        <v>66</v>
      </c>
      <c r="I2" t="s">
        <v>67</v>
      </c>
      <c r="J2" t="s">
        <v>19</v>
      </c>
      <c r="K2" t="s">
        <v>68</v>
      </c>
      <c r="M2" t="s">
        <v>20</v>
      </c>
      <c r="N2" t="s">
        <v>21</v>
      </c>
      <c r="O2">
        <v>5.6</v>
      </c>
      <c r="P2" t="s">
        <v>22</v>
      </c>
    </row>
    <row r="3" spans="1:23">
      <c r="A3" t="s">
        <v>69</v>
      </c>
      <c r="B3">
        <v>46135.922465277778</v>
      </c>
      <c r="C3">
        <v>46135.937566805558</v>
      </c>
      <c r="D3">
        <v>46136.028382974539</v>
      </c>
      <c r="E3" t="s">
        <v>70</v>
      </c>
      <c r="F3" t="s">
        <v>3</v>
      </c>
      <c r="G3" t="s">
        <v>71</v>
      </c>
      <c r="H3" t="s">
        <v>72</v>
      </c>
      <c r="I3" t="s">
        <v>73</v>
      </c>
      <c r="J3" t="s">
        <v>25</v>
      </c>
      <c r="K3" t="s">
        <v>68</v>
      </c>
      <c r="L3">
        <v>4</v>
      </c>
      <c r="M3" t="s">
        <v>26</v>
      </c>
      <c r="N3" t="s">
        <v>27</v>
      </c>
      <c r="O3">
        <v>6.3</v>
      </c>
      <c r="P3" t="s">
        <v>15</v>
      </c>
    </row>
    <row r="4" spans="1:23">
      <c r="A4" t="s">
        <v>74</v>
      </c>
      <c r="B4">
        <v>46146.728113425925</v>
      </c>
      <c r="C4">
        <v>46146.813898101849</v>
      </c>
      <c r="D4">
        <v>46148.227404942132</v>
      </c>
      <c r="E4" t="s">
        <v>75</v>
      </c>
      <c r="F4" t="s">
        <v>5</v>
      </c>
      <c r="G4" t="s">
        <v>76</v>
      </c>
      <c r="H4" t="s">
        <v>77</v>
      </c>
      <c r="I4" t="s">
        <v>73</v>
      </c>
      <c r="J4" t="s">
        <v>40</v>
      </c>
      <c r="K4" t="s">
        <v>68</v>
      </c>
      <c r="L4">
        <v>4</v>
      </c>
      <c r="M4" t="s">
        <v>41</v>
      </c>
      <c r="N4" t="s">
        <v>27</v>
      </c>
      <c r="O4">
        <v>4.8</v>
      </c>
      <c r="P4" t="s">
        <v>39</v>
      </c>
    </row>
    <row r="5" spans="1:23">
      <c r="A5" t="s">
        <v>78</v>
      </c>
      <c r="B5">
        <v>46188.390821759262</v>
      </c>
      <c r="C5">
        <v>46188.408408564814</v>
      </c>
      <c r="D5">
        <v>46188.517148888888</v>
      </c>
      <c r="E5" t="s">
        <v>70</v>
      </c>
      <c r="F5" t="s">
        <v>3</v>
      </c>
      <c r="G5" t="s">
        <v>79</v>
      </c>
      <c r="H5" t="s">
        <v>80</v>
      </c>
      <c r="I5" t="s">
        <v>73</v>
      </c>
      <c r="J5" t="s">
        <v>12</v>
      </c>
      <c r="K5" t="s">
        <v>68</v>
      </c>
      <c r="L5">
        <v>4</v>
      </c>
      <c r="M5" t="s">
        <v>13</v>
      </c>
      <c r="N5" t="s">
        <v>14</v>
      </c>
      <c r="O5">
        <v>4.2</v>
      </c>
      <c r="P5" t="s">
        <v>15</v>
      </c>
    </row>
    <row r="6" spans="1:23">
      <c r="A6" t="s">
        <v>81</v>
      </c>
      <c r="B6">
        <v>46184.124513888892</v>
      </c>
      <c r="C6">
        <v>46184.247696203704</v>
      </c>
      <c r="D6">
        <v>46186.191882245374</v>
      </c>
      <c r="E6" t="s">
        <v>75</v>
      </c>
      <c r="F6" t="s">
        <v>5</v>
      </c>
      <c r="G6" t="s">
        <v>79</v>
      </c>
      <c r="H6" t="s">
        <v>66</v>
      </c>
      <c r="I6" t="s">
        <v>73</v>
      </c>
      <c r="J6" t="s">
        <v>16</v>
      </c>
      <c r="K6" t="s">
        <v>68</v>
      </c>
      <c r="L6">
        <v>3</v>
      </c>
      <c r="M6" t="s">
        <v>17</v>
      </c>
      <c r="N6" t="s">
        <v>14</v>
      </c>
      <c r="O6">
        <v>2.1</v>
      </c>
      <c r="P6" t="s">
        <v>18</v>
      </c>
    </row>
    <row r="7" spans="1:23">
      <c r="A7" t="s">
        <v>82</v>
      </c>
      <c r="B7">
        <v>46199.227546296293</v>
      </c>
      <c r="C7">
        <v>46199.275558657406</v>
      </c>
      <c r="D7">
        <v>46199.510101527776</v>
      </c>
      <c r="E7" t="s">
        <v>70</v>
      </c>
      <c r="F7" t="s">
        <v>4</v>
      </c>
      <c r="G7" t="s">
        <v>83</v>
      </c>
      <c r="H7" t="s">
        <v>84</v>
      </c>
      <c r="I7" t="s">
        <v>67</v>
      </c>
      <c r="J7" t="s">
        <v>34</v>
      </c>
      <c r="K7" t="s">
        <v>85</v>
      </c>
      <c r="L7">
        <v>2</v>
      </c>
      <c r="M7" t="s">
        <v>35</v>
      </c>
      <c r="N7" t="s">
        <v>33</v>
      </c>
      <c r="O7">
        <v>3</v>
      </c>
      <c r="P7" t="s">
        <v>36</v>
      </c>
    </row>
    <row r="8" spans="1:23">
      <c r="A8" t="s">
        <v>86</v>
      </c>
      <c r="B8">
        <v>46196.938125000001</v>
      </c>
      <c r="C8">
        <v>46196.981556458333</v>
      </c>
      <c r="D8">
        <v>46197.224693067132</v>
      </c>
      <c r="E8" t="s">
        <v>75</v>
      </c>
      <c r="F8" t="s">
        <v>4</v>
      </c>
      <c r="G8" t="s">
        <v>65</v>
      </c>
      <c r="H8" t="s">
        <v>72</v>
      </c>
      <c r="I8" t="s">
        <v>73</v>
      </c>
      <c r="J8" t="s">
        <v>42</v>
      </c>
      <c r="K8" t="s">
        <v>68</v>
      </c>
      <c r="L8">
        <v>4</v>
      </c>
      <c r="M8" t="s">
        <v>43</v>
      </c>
      <c r="N8" t="s">
        <v>21</v>
      </c>
      <c r="O8">
        <v>2.7</v>
      </c>
      <c r="P8" t="s">
        <v>36</v>
      </c>
    </row>
    <row r="9" spans="1:23">
      <c r="A9" t="s">
        <v>87</v>
      </c>
      <c r="B9">
        <v>46124.163969907408</v>
      </c>
      <c r="C9">
        <v>46124.178707222221</v>
      </c>
      <c r="D9">
        <v>46124.693274398145</v>
      </c>
      <c r="E9" t="s">
        <v>75</v>
      </c>
      <c r="F9" t="s">
        <v>4</v>
      </c>
      <c r="G9" t="s">
        <v>79</v>
      </c>
      <c r="H9" t="s">
        <v>88</v>
      </c>
      <c r="I9" t="s">
        <v>89</v>
      </c>
      <c r="J9" t="s">
        <v>12</v>
      </c>
      <c r="K9" t="s">
        <v>68</v>
      </c>
      <c r="L9">
        <v>5</v>
      </c>
      <c r="M9" t="s">
        <v>13</v>
      </c>
      <c r="N9" t="s">
        <v>14</v>
      </c>
      <c r="O9">
        <v>4.2</v>
      </c>
      <c r="P9" t="s">
        <v>15</v>
      </c>
    </row>
    <row r="10" spans="1:23">
      <c r="A10" t="s">
        <v>90</v>
      </c>
      <c r="B10">
        <v>46202.510196759256</v>
      </c>
      <c r="C10">
        <v>46202.522049155094</v>
      </c>
      <c r="D10">
        <v>46202.588965960647</v>
      </c>
      <c r="E10" t="s">
        <v>70</v>
      </c>
      <c r="F10" t="s">
        <v>3</v>
      </c>
      <c r="G10" t="s">
        <v>65</v>
      </c>
      <c r="H10" t="s">
        <v>80</v>
      </c>
      <c r="I10" t="s">
        <v>67</v>
      </c>
      <c r="J10" t="s">
        <v>19</v>
      </c>
      <c r="K10" t="s">
        <v>68</v>
      </c>
      <c r="L10">
        <v>4</v>
      </c>
      <c r="M10" t="s">
        <v>20</v>
      </c>
      <c r="N10" t="s">
        <v>21</v>
      </c>
      <c r="O10">
        <v>5.6</v>
      </c>
      <c r="P10" t="s">
        <v>22</v>
      </c>
    </row>
    <row r="11" spans="1:23">
      <c r="A11" t="s">
        <v>91</v>
      </c>
      <c r="B11">
        <v>46159.478668981479</v>
      </c>
      <c r="C11">
        <v>46159.508416400466</v>
      </c>
      <c r="D11">
        <v>46159.689671655091</v>
      </c>
      <c r="E11" t="s">
        <v>75</v>
      </c>
      <c r="F11" t="s">
        <v>3</v>
      </c>
      <c r="G11" t="s">
        <v>83</v>
      </c>
      <c r="H11" t="s">
        <v>72</v>
      </c>
      <c r="I11" t="s">
        <v>92</v>
      </c>
      <c r="J11" t="s">
        <v>44</v>
      </c>
      <c r="K11" t="s">
        <v>68</v>
      </c>
      <c r="L11">
        <v>3</v>
      </c>
      <c r="M11" t="s">
        <v>45</v>
      </c>
      <c r="N11" t="s">
        <v>33</v>
      </c>
      <c r="O11">
        <v>5.0999999999999996</v>
      </c>
      <c r="P11" t="s">
        <v>30</v>
      </c>
    </row>
    <row r="12" spans="1:23">
      <c r="A12" t="s">
        <v>93</v>
      </c>
      <c r="B12">
        <v>46119.549629629626</v>
      </c>
      <c r="C12">
        <v>46119.653155474538</v>
      </c>
      <c r="D12">
        <v>46119.880261469909</v>
      </c>
      <c r="E12" t="s">
        <v>75</v>
      </c>
      <c r="F12" t="s">
        <v>5</v>
      </c>
      <c r="G12" t="s">
        <v>94</v>
      </c>
      <c r="H12" t="s">
        <v>66</v>
      </c>
      <c r="I12" t="s">
        <v>73</v>
      </c>
      <c r="J12" t="s">
        <v>12</v>
      </c>
      <c r="K12" t="s">
        <v>68</v>
      </c>
      <c r="L12">
        <v>5</v>
      </c>
      <c r="M12" t="s">
        <v>13</v>
      </c>
      <c r="N12" t="s">
        <v>14</v>
      </c>
      <c r="O12">
        <v>4.2</v>
      </c>
      <c r="P12" t="s">
        <v>15</v>
      </c>
    </row>
    <row r="13" spans="1:23">
      <c r="A13" t="s">
        <v>95</v>
      </c>
      <c r="B13">
        <v>46199.004224537035</v>
      </c>
      <c r="C13">
        <v>46199.180284328701</v>
      </c>
      <c r="E13" t="s">
        <v>64</v>
      </c>
      <c r="F13" t="s">
        <v>5</v>
      </c>
      <c r="G13" t="s">
        <v>76</v>
      </c>
      <c r="H13" t="s">
        <v>72</v>
      </c>
      <c r="I13" t="s">
        <v>73</v>
      </c>
      <c r="J13" t="s">
        <v>28</v>
      </c>
      <c r="K13" t="s">
        <v>68</v>
      </c>
      <c r="M13" t="s">
        <v>29</v>
      </c>
      <c r="N13" t="s">
        <v>27</v>
      </c>
      <c r="O13">
        <v>1.8</v>
      </c>
      <c r="P13" t="s">
        <v>30</v>
      </c>
    </row>
    <row r="14" spans="1:23">
      <c r="A14" t="s">
        <v>96</v>
      </c>
      <c r="B14">
        <v>46119.218229166669</v>
      </c>
      <c r="C14">
        <v>46119.301877071761</v>
      </c>
      <c r="D14">
        <v>46119.643982824076</v>
      </c>
      <c r="E14" t="s">
        <v>75</v>
      </c>
      <c r="F14" t="s">
        <v>5</v>
      </c>
      <c r="G14" t="s">
        <v>94</v>
      </c>
      <c r="H14" t="s">
        <v>66</v>
      </c>
      <c r="I14" t="s">
        <v>73</v>
      </c>
      <c r="J14" t="s">
        <v>12</v>
      </c>
      <c r="K14" t="s">
        <v>68</v>
      </c>
      <c r="L14">
        <v>4</v>
      </c>
      <c r="M14" t="s">
        <v>13</v>
      </c>
      <c r="N14" t="s">
        <v>14</v>
      </c>
      <c r="O14">
        <v>4.2</v>
      </c>
      <c r="P14" t="s">
        <v>15</v>
      </c>
    </row>
    <row r="15" spans="1:23">
      <c r="A15" t="s">
        <v>97</v>
      </c>
      <c r="B15">
        <v>46165.819212962961</v>
      </c>
      <c r="C15">
        <v>46165.928845706017</v>
      </c>
      <c r="D15">
        <v>46166.29866385417</v>
      </c>
      <c r="E15" t="s">
        <v>75</v>
      </c>
      <c r="F15" t="s">
        <v>6</v>
      </c>
      <c r="G15" t="s">
        <v>98</v>
      </c>
      <c r="H15" t="s">
        <v>84</v>
      </c>
      <c r="I15" t="s">
        <v>89</v>
      </c>
      <c r="J15" t="s">
        <v>12</v>
      </c>
      <c r="K15" t="s">
        <v>68</v>
      </c>
      <c r="L15">
        <v>5</v>
      </c>
      <c r="M15" t="s">
        <v>13</v>
      </c>
      <c r="N15" t="s">
        <v>14</v>
      </c>
      <c r="O15">
        <v>4.2</v>
      </c>
      <c r="P15" t="s">
        <v>15</v>
      </c>
    </row>
    <row r="16" spans="1:23">
      <c r="A16" t="s">
        <v>99</v>
      </c>
      <c r="B16">
        <v>46157.510254629633</v>
      </c>
      <c r="C16">
        <v>46157.690273599539</v>
      </c>
      <c r="D16">
        <v>46158.270596805552</v>
      </c>
      <c r="E16" t="s">
        <v>70</v>
      </c>
      <c r="F16" t="s">
        <v>5</v>
      </c>
      <c r="G16" t="s">
        <v>79</v>
      </c>
      <c r="H16" t="s">
        <v>77</v>
      </c>
      <c r="I16" t="s">
        <v>73</v>
      </c>
      <c r="J16" t="s">
        <v>37</v>
      </c>
      <c r="K16" t="s">
        <v>68</v>
      </c>
      <c r="L16">
        <v>4</v>
      </c>
      <c r="M16" t="s">
        <v>38</v>
      </c>
      <c r="N16" t="s">
        <v>14</v>
      </c>
      <c r="O16">
        <v>1.2</v>
      </c>
      <c r="P16" t="s">
        <v>39</v>
      </c>
    </row>
    <row r="17" spans="1:16">
      <c r="A17" t="s">
        <v>100</v>
      </c>
      <c r="B17">
        <v>46195.990486111114</v>
      </c>
      <c r="C17">
        <v>46196.255085439814</v>
      </c>
      <c r="D17">
        <v>46197.355265752318</v>
      </c>
      <c r="E17" t="s">
        <v>75</v>
      </c>
      <c r="F17" t="s">
        <v>5</v>
      </c>
      <c r="G17" t="s">
        <v>79</v>
      </c>
      <c r="H17" t="s">
        <v>66</v>
      </c>
      <c r="I17" t="s">
        <v>73</v>
      </c>
      <c r="J17" t="s">
        <v>37</v>
      </c>
      <c r="K17" t="s">
        <v>68</v>
      </c>
      <c r="L17">
        <v>4</v>
      </c>
      <c r="M17" t="s">
        <v>38</v>
      </c>
      <c r="N17" t="s">
        <v>14</v>
      </c>
      <c r="O17">
        <v>1.2</v>
      </c>
      <c r="P17" t="s">
        <v>39</v>
      </c>
    </row>
    <row r="18" spans="1:16">
      <c r="A18" t="s">
        <v>101</v>
      </c>
      <c r="B18">
        <v>46138.65116898148</v>
      </c>
      <c r="C18">
        <v>46138.800809108798</v>
      </c>
      <c r="D18">
        <v>46139.452370891202</v>
      </c>
      <c r="E18" t="s">
        <v>75</v>
      </c>
      <c r="F18" t="s">
        <v>5</v>
      </c>
      <c r="G18" t="s">
        <v>79</v>
      </c>
      <c r="H18" t="s">
        <v>88</v>
      </c>
      <c r="I18" t="s">
        <v>73</v>
      </c>
      <c r="J18" t="s">
        <v>12</v>
      </c>
      <c r="K18" t="s">
        <v>68</v>
      </c>
      <c r="L18">
        <v>4</v>
      </c>
      <c r="M18" t="s">
        <v>13</v>
      </c>
      <c r="N18" t="s">
        <v>14</v>
      </c>
      <c r="O18">
        <v>4.2</v>
      </c>
      <c r="P18" t="s">
        <v>15</v>
      </c>
    </row>
    <row r="19" spans="1:16">
      <c r="A19" t="s">
        <v>102</v>
      </c>
      <c r="B19">
        <v>46137.050995370373</v>
      </c>
      <c r="C19">
        <v>46137.112885787035</v>
      </c>
      <c r="D19">
        <v>46137.380888807871</v>
      </c>
      <c r="E19" t="s">
        <v>75</v>
      </c>
      <c r="F19" t="s">
        <v>4</v>
      </c>
      <c r="G19" t="s">
        <v>94</v>
      </c>
      <c r="H19" t="s">
        <v>88</v>
      </c>
      <c r="I19" t="s">
        <v>89</v>
      </c>
      <c r="J19" t="s">
        <v>37</v>
      </c>
      <c r="K19" t="s">
        <v>68</v>
      </c>
      <c r="L19">
        <v>4</v>
      </c>
      <c r="M19" t="s">
        <v>38</v>
      </c>
      <c r="N19" t="s">
        <v>14</v>
      </c>
      <c r="O19">
        <v>1.2</v>
      </c>
      <c r="P19" t="s">
        <v>39</v>
      </c>
    </row>
    <row r="20" spans="1:16">
      <c r="A20" t="s">
        <v>103</v>
      </c>
      <c r="B20">
        <v>46180.082673611112</v>
      </c>
      <c r="C20">
        <v>46180.12110704861</v>
      </c>
      <c r="D20">
        <v>46180.475216261577</v>
      </c>
      <c r="E20" t="s">
        <v>75</v>
      </c>
      <c r="F20" t="s">
        <v>4</v>
      </c>
      <c r="G20" t="s">
        <v>76</v>
      </c>
      <c r="H20" t="s">
        <v>88</v>
      </c>
      <c r="I20" t="s">
        <v>73</v>
      </c>
      <c r="J20" t="s">
        <v>28</v>
      </c>
      <c r="K20" t="s">
        <v>68</v>
      </c>
      <c r="L20">
        <v>4</v>
      </c>
      <c r="M20" t="s">
        <v>29</v>
      </c>
      <c r="N20" t="s">
        <v>27</v>
      </c>
      <c r="O20">
        <v>1.8</v>
      </c>
      <c r="P20" t="s">
        <v>30</v>
      </c>
    </row>
    <row r="21" spans="1:16">
      <c r="A21" t="s">
        <v>104</v>
      </c>
      <c r="B21">
        <v>46199.074456018519</v>
      </c>
      <c r="C21">
        <v>46199.08438039352</v>
      </c>
      <c r="D21">
        <v>46199.143582430559</v>
      </c>
      <c r="E21" t="s">
        <v>75</v>
      </c>
      <c r="F21" t="s">
        <v>3</v>
      </c>
      <c r="G21" t="s">
        <v>105</v>
      </c>
      <c r="H21" t="s">
        <v>106</v>
      </c>
      <c r="I21" t="s">
        <v>89</v>
      </c>
      <c r="J21" t="s">
        <v>31</v>
      </c>
      <c r="K21" t="s">
        <v>68</v>
      </c>
      <c r="L21">
        <v>5</v>
      </c>
      <c r="M21" t="s">
        <v>32</v>
      </c>
      <c r="N21" t="s">
        <v>33</v>
      </c>
      <c r="O21">
        <v>7.1</v>
      </c>
      <c r="P21" t="s">
        <v>18</v>
      </c>
    </row>
    <row r="22" spans="1:16">
      <c r="A22" t="s">
        <v>107</v>
      </c>
      <c r="B22">
        <v>46198.259513888886</v>
      </c>
      <c r="C22">
        <v>46198.387102789355</v>
      </c>
      <c r="D22">
        <v>46199.021861701389</v>
      </c>
      <c r="E22" t="s">
        <v>70</v>
      </c>
      <c r="F22" t="s">
        <v>5</v>
      </c>
      <c r="G22" t="s">
        <v>94</v>
      </c>
      <c r="H22" t="s">
        <v>66</v>
      </c>
      <c r="I22" t="s">
        <v>92</v>
      </c>
      <c r="J22" t="s">
        <v>12</v>
      </c>
      <c r="K22" t="s">
        <v>68</v>
      </c>
      <c r="L22">
        <v>5</v>
      </c>
      <c r="M22" t="s">
        <v>13</v>
      </c>
      <c r="N22" t="s">
        <v>14</v>
      </c>
      <c r="O22">
        <v>4.2</v>
      </c>
      <c r="P22" t="s">
        <v>15</v>
      </c>
    </row>
    <row r="23" spans="1:16">
      <c r="A23" t="s">
        <v>108</v>
      </c>
      <c r="B23">
        <v>46142.964421296296</v>
      </c>
      <c r="C23">
        <v>46143.098010266207</v>
      </c>
      <c r="D23">
        <v>46144.359461689812</v>
      </c>
      <c r="E23" t="s">
        <v>75</v>
      </c>
      <c r="F23" t="s">
        <v>6</v>
      </c>
      <c r="G23" t="s">
        <v>98</v>
      </c>
      <c r="H23" t="s">
        <v>109</v>
      </c>
      <c r="I23" t="s">
        <v>73</v>
      </c>
      <c r="J23" t="s">
        <v>12</v>
      </c>
      <c r="K23" t="s">
        <v>68</v>
      </c>
      <c r="L23">
        <v>4</v>
      </c>
      <c r="M23" t="s">
        <v>13</v>
      </c>
      <c r="N23" t="s">
        <v>14</v>
      </c>
      <c r="O23">
        <v>4.2</v>
      </c>
      <c r="P23" t="s">
        <v>15</v>
      </c>
    </row>
    <row r="24" spans="1:16">
      <c r="A24" t="s">
        <v>110</v>
      </c>
      <c r="B24">
        <v>46145.484791666669</v>
      </c>
      <c r="C24">
        <v>46145.496954224538</v>
      </c>
      <c r="D24">
        <v>46145.605106064817</v>
      </c>
      <c r="E24" t="s">
        <v>75</v>
      </c>
      <c r="F24" t="s">
        <v>3</v>
      </c>
      <c r="G24" t="s">
        <v>83</v>
      </c>
      <c r="H24" t="s">
        <v>84</v>
      </c>
      <c r="I24" t="s">
        <v>92</v>
      </c>
      <c r="J24" t="s">
        <v>34</v>
      </c>
      <c r="K24" t="s">
        <v>68</v>
      </c>
      <c r="L24">
        <v>4</v>
      </c>
      <c r="M24" t="s">
        <v>35</v>
      </c>
      <c r="N24" t="s">
        <v>33</v>
      </c>
      <c r="O24">
        <v>3</v>
      </c>
      <c r="P24" t="s">
        <v>36</v>
      </c>
    </row>
    <row r="25" spans="1:16">
      <c r="A25" t="s">
        <v>111</v>
      </c>
      <c r="B25">
        <v>46138.064432870371</v>
      </c>
      <c r="C25">
        <v>46138.090056574074</v>
      </c>
      <c r="D25">
        <v>46138.216426921295</v>
      </c>
      <c r="E25" t="s">
        <v>75</v>
      </c>
      <c r="F25" t="s">
        <v>4</v>
      </c>
      <c r="G25" t="s">
        <v>65</v>
      </c>
      <c r="H25" t="s">
        <v>66</v>
      </c>
      <c r="I25" t="s">
        <v>73</v>
      </c>
      <c r="J25" t="s">
        <v>42</v>
      </c>
      <c r="K25" t="s">
        <v>68</v>
      </c>
      <c r="L25">
        <v>5</v>
      </c>
      <c r="M25" t="s">
        <v>43</v>
      </c>
      <c r="N25" t="s">
        <v>21</v>
      </c>
      <c r="O25">
        <v>2.7</v>
      </c>
      <c r="P25" t="s">
        <v>36</v>
      </c>
    </row>
    <row r="26" spans="1:16">
      <c r="A26" t="s">
        <v>112</v>
      </c>
      <c r="B26">
        <v>46131.959155092591</v>
      </c>
      <c r="C26">
        <v>46132.108566030096</v>
      </c>
      <c r="D26">
        <v>46133.044976562502</v>
      </c>
      <c r="E26" t="s">
        <v>75</v>
      </c>
      <c r="F26" t="s">
        <v>6</v>
      </c>
      <c r="G26" t="s">
        <v>94</v>
      </c>
      <c r="H26" t="s">
        <v>84</v>
      </c>
      <c r="I26" t="s">
        <v>89</v>
      </c>
      <c r="J26" t="s">
        <v>37</v>
      </c>
      <c r="K26" t="s">
        <v>68</v>
      </c>
      <c r="L26">
        <v>4</v>
      </c>
      <c r="M26" t="s">
        <v>38</v>
      </c>
      <c r="N26" t="s">
        <v>14</v>
      </c>
      <c r="O26">
        <v>1.2</v>
      </c>
      <c r="P26" t="s">
        <v>39</v>
      </c>
    </row>
    <row r="27" spans="1:16">
      <c r="A27" t="s">
        <v>113</v>
      </c>
      <c r="B27">
        <v>46162.963402777779</v>
      </c>
      <c r="C27">
        <v>46163.243789085645</v>
      </c>
      <c r="D27">
        <v>46163.626962118055</v>
      </c>
      <c r="E27" t="s">
        <v>75</v>
      </c>
      <c r="F27" t="s">
        <v>6</v>
      </c>
      <c r="G27" t="s">
        <v>71</v>
      </c>
      <c r="H27" t="s">
        <v>84</v>
      </c>
      <c r="I27" t="s">
        <v>73</v>
      </c>
      <c r="J27" t="s">
        <v>40</v>
      </c>
      <c r="K27" t="s">
        <v>68</v>
      </c>
      <c r="L27">
        <v>5</v>
      </c>
      <c r="M27" t="s">
        <v>41</v>
      </c>
      <c r="N27" t="s">
        <v>27</v>
      </c>
      <c r="O27">
        <v>4.8</v>
      </c>
      <c r="P27" t="s">
        <v>39</v>
      </c>
    </row>
    <row r="28" spans="1:16">
      <c r="A28" t="s">
        <v>114</v>
      </c>
      <c r="B28">
        <v>46132.666921296295</v>
      </c>
      <c r="C28">
        <v>46132.67604416667</v>
      </c>
      <c r="D28">
        <v>46132.782175405089</v>
      </c>
      <c r="E28" t="s">
        <v>75</v>
      </c>
      <c r="F28" t="s">
        <v>3</v>
      </c>
      <c r="G28" t="s">
        <v>65</v>
      </c>
      <c r="H28" t="s">
        <v>80</v>
      </c>
      <c r="I28" t="s">
        <v>73</v>
      </c>
      <c r="J28" t="s">
        <v>23</v>
      </c>
      <c r="K28" t="s">
        <v>85</v>
      </c>
      <c r="L28">
        <v>4</v>
      </c>
      <c r="M28" t="s">
        <v>24</v>
      </c>
      <c r="N28" t="s">
        <v>21</v>
      </c>
      <c r="O28">
        <v>3.4</v>
      </c>
      <c r="P28" t="s">
        <v>22</v>
      </c>
    </row>
    <row r="29" spans="1:16">
      <c r="A29" t="s">
        <v>115</v>
      </c>
      <c r="B29">
        <v>46123.681932870371</v>
      </c>
      <c r="C29">
        <v>46123.701016145831</v>
      </c>
      <c r="D29">
        <v>46123.963623194446</v>
      </c>
      <c r="E29" t="s">
        <v>70</v>
      </c>
      <c r="F29" t="s">
        <v>4</v>
      </c>
      <c r="G29" t="s">
        <v>105</v>
      </c>
      <c r="H29" t="s">
        <v>77</v>
      </c>
      <c r="I29" t="s">
        <v>89</v>
      </c>
      <c r="J29" t="s">
        <v>44</v>
      </c>
      <c r="K29" t="s">
        <v>68</v>
      </c>
      <c r="L29">
        <v>3</v>
      </c>
      <c r="M29" t="s">
        <v>45</v>
      </c>
      <c r="N29" t="s">
        <v>33</v>
      </c>
      <c r="O29">
        <v>5.0999999999999996</v>
      </c>
      <c r="P29" t="s">
        <v>30</v>
      </c>
    </row>
    <row r="30" spans="1:16">
      <c r="A30" t="s">
        <v>116</v>
      </c>
      <c r="B30">
        <v>46192.46261574074</v>
      </c>
      <c r="C30">
        <v>46192.495226342595</v>
      </c>
      <c r="D30">
        <v>46192.599073657409</v>
      </c>
      <c r="E30" t="s">
        <v>75</v>
      </c>
      <c r="F30" t="s">
        <v>4</v>
      </c>
      <c r="G30" t="s">
        <v>105</v>
      </c>
      <c r="H30" t="s">
        <v>77</v>
      </c>
      <c r="I30" t="s">
        <v>67</v>
      </c>
      <c r="J30" t="s">
        <v>44</v>
      </c>
      <c r="K30" t="s">
        <v>68</v>
      </c>
      <c r="L30">
        <v>5</v>
      </c>
      <c r="M30" t="s">
        <v>45</v>
      </c>
      <c r="N30" t="s">
        <v>33</v>
      </c>
      <c r="O30">
        <v>5.0999999999999996</v>
      </c>
      <c r="P30" t="s">
        <v>30</v>
      </c>
    </row>
    <row r="31" spans="1:16">
      <c r="A31" t="s">
        <v>117</v>
      </c>
      <c r="B31">
        <v>46141.074780092589</v>
      </c>
      <c r="C31">
        <v>46141.112891435187</v>
      </c>
      <c r="D31">
        <v>46141.286309432871</v>
      </c>
      <c r="E31" t="s">
        <v>75</v>
      </c>
      <c r="F31" t="s">
        <v>4</v>
      </c>
      <c r="G31" t="s">
        <v>79</v>
      </c>
      <c r="H31" t="s">
        <v>80</v>
      </c>
      <c r="I31" t="s">
        <v>73</v>
      </c>
      <c r="J31" t="s">
        <v>37</v>
      </c>
      <c r="K31" t="s">
        <v>68</v>
      </c>
      <c r="L31">
        <v>5</v>
      </c>
      <c r="M31" t="s">
        <v>38</v>
      </c>
      <c r="N31" t="s">
        <v>14</v>
      </c>
      <c r="O31">
        <v>1.2</v>
      </c>
      <c r="P31" t="s">
        <v>39</v>
      </c>
    </row>
    <row r="32" spans="1:16">
      <c r="A32" t="s">
        <v>118</v>
      </c>
      <c r="B32">
        <v>46194.19903935185</v>
      </c>
      <c r="C32">
        <v>46194.599111388889</v>
      </c>
      <c r="D32">
        <v>46194.725638043979</v>
      </c>
      <c r="E32" t="s">
        <v>75</v>
      </c>
      <c r="F32" t="s">
        <v>6</v>
      </c>
      <c r="G32" t="s">
        <v>94</v>
      </c>
      <c r="H32" t="s">
        <v>109</v>
      </c>
      <c r="I32" t="s">
        <v>73</v>
      </c>
      <c r="J32" t="s">
        <v>37</v>
      </c>
      <c r="K32" t="s">
        <v>68</v>
      </c>
      <c r="L32">
        <v>4</v>
      </c>
      <c r="M32" t="s">
        <v>38</v>
      </c>
      <c r="N32" t="s">
        <v>14</v>
      </c>
      <c r="O32">
        <v>1.2</v>
      </c>
      <c r="P32" t="s">
        <v>39</v>
      </c>
    </row>
    <row r="33" spans="1:16">
      <c r="A33" t="s">
        <v>119</v>
      </c>
      <c r="B33">
        <v>46160.735706018517</v>
      </c>
      <c r="C33">
        <v>46161.080555023145</v>
      </c>
      <c r="D33">
        <v>46163.003138842592</v>
      </c>
      <c r="E33" t="s">
        <v>75</v>
      </c>
      <c r="F33" t="s">
        <v>5</v>
      </c>
      <c r="G33" t="s">
        <v>79</v>
      </c>
      <c r="H33" t="s">
        <v>72</v>
      </c>
      <c r="I33" t="s">
        <v>89</v>
      </c>
      <c r="J33" t="s">
        <v>12</v>
      </c>
      <c r="K33" t="s">
        <v>68</v>
      </c>
      <c r="L33">
        <v>2</v>
      </c>
      <c r="M33" t="s">
        <v>13</v>
      </c>
      <c r="N33" t="s">
        <v>14</v>
      </c>
      <c r="O33">
        <v>4.2</v>
      </c>
      <c r="P33" t="s">
        <v>15</v>
      </c>
    </row>
    <row r="34" spans="1:16">
      <c r="A34" t="s">
        <v>120</v>
      </c>
      <c r="B34">
        <v>46197.496249999997</v>
      </c>
      <c r="C34">
        <v>46197.501604513891</v>
      </c>
      <c r="D34">
        <v>46197.600208888885</v>
      </c>
      <c r="E34" t="s">
        <v>70</v>
      </c>
      <c r="F34" t="s">
        <v>3</v>
      </c>
      <c r="G34" t="s">
        <v>71</v>
      </c>
      <c r="H34" t="s">
        <v>106</v>
      </c>
      <c r="I34" t="s">
        <v>73</v>
      </c>
      <c r="J34" t="s">
        <v>28</v>
      </c>
      <c r="K34" t="s">
        <v>85</v>
      </c>
      <c r="L34">
        <v>4</v>
      </c>
      <c r="M34" t="s">
        <v>29</v>
      </c>
      <c r="N34" t="s">
        <v>27</v>
      </c>
      <c r="O34">
        <v>1.8</v>
      </c>
      <c r="P34" t="s">
        <v>30</v>
      </c>
    </row>
    <row r="35" spans="1:16">
      <c r="A35" t="s">
        <v>121</v>
      </c>
      <c r="B35">
        <v>46119.995509259257</v>
      </c>
      <c r="C35">
        <v>46120.110898784726</v>
      </c>
      <c r="D35">
        <v>46120.610441354169</v>
      </c>
      <c r="E35" t="s">
        <v>75</v>
      </c>
      <c r="F35" t="s">
        <v>5</v>
      </c>
      <c r="G35" t="s">
        <v>105</v>
      </c>
      <c r="H35" t="s">
        <v>66</v>
      </c>
      <c r="I35" t="s">
        <v>67</v>
      </c>
      <c r="J35" t="s">
        <v>31</v>
      </c>
      <c r="K35" t="s">
        <v>68</v>
      </c>
      <c r="L35">
        <v>4</v>
      </c>
      <c r="M35" t="s">
        <v>32</v>
      </c>
      <c r="N35" t="s">
        <v>33</v>
      </c>
      <c r="O35">
        <v>7.1</v>
      </c>
      <c r="P35" t="s">
        <v>18</v>
      </c>
    </row>
    <row r="36" spans="1:16">
      <c r="A36" t="s">
        <v>122</v>
      </c>
      <c r="B36">
        <v>46149.149502314816</v>
      </c>
      <c r="C36">
        <v>46149.16123445602</v>
      </c>
      <c r="D36">
        <v>46149.454461793983</v>
      </c>
      <c r="E36" t="s">
        <v>75</v>
      </c>
      <c r="F36" t="s">
        <v>4</v>
      </c>
      <c r="G36" t="s">
        <v>65</v>
      </c>
      <c r="H36" t="s">
        <v>80</v>
      </c>
      <c r="I36" t="s">
        <v>92</v>
      </c>
      <c r="J36" t="s">
        <v>42</v>
      </c>
      <c r="K36" t="s">
        <v>68</v>
      </c>
      <c r="L36">
        <v>4</v>
      </c>
      <c r="M36" t="s">
        <v>43</v>
      </c>
      <c r="N36" t="s">
        <v>21</v>
      </c>
      <c r="O36">
        <v>2.7</v>
      </c>
      <c r="P36" t="s">
        <v>36</v>
      </c>
    </row>
    <row r="37" spans="1:16">
      <c r="A37" t="s">
        <v>123</v>
      </c>
      <c r="B37">
        <v>46188.333784722221</v>
      </c>
      <c r="C37">
        <v>46188.497129363423</v>
      </c>
      <c r="D37">
        <v>46189.097069710646</v>
      </c>
      <c r="E37" t="s">
        <v>75</v>
      </c>
      <c r="F37" t="s">
        <v>5</v>
      </c>
      <c r="G37" t="s">
        <v>79</v>
      </c>
      <c r="H37" t="s">
        <v>109</v>
      </c>
      <c r="I37" t="s">
        <v>89</v>
      </c>
      <c r="J37" t="s">
        <v>12</v>
      </c>
      <c r="K37" t="s">
        <v>68</v>
      </c>
      <c r="L37">
        <v>4</v>
      </c>
      <c r="M37" t="s">
        <v>13</v>
      </c>
      <c r="N37" t="s">
        <v>14</v>
      </c>
      <c r="O37">
        <v>4.2</v>
      </c>
      <c r="P37" t="s">
        <v>15</v>
      </c>
    </row>
    <row r="38" spans="1:16">
      <c r="A38" t="s">
        <v>124</v>
      </c>
      <c r="B38">
        <v>46157.969594907408</v>
      </c>
      <c r="C38">
        <v>46158.034373402777</v>
      </c>
      <c r="D38">
        <v>46158.180623958331</v>
      </c>
      <c r="E38" t="s">
        <v>75</v>
      </c>
      <c r="F38" t="s">
        <v>4</v>
      </c>
      <c r="G38" t="s">
        <v>105</v>
      </c>
      <c r="H38" t="s">
        <v>88</v>
      </c>
      <c r="I38" t="s">
        <v>73</v>
      </c>
      <c r="J38" t="s">
        <v>44</v>
      </c>
      <c r="K38" t="s">
        <v>68</v>
      </c>
      <c r="L38">
        <v>4</v>
      </c>
      <c r="M38" t="s">
        <v>45</v>
      </c>
      <c r="N38" t="s">
        <v>33</v>
      </c>
      <c r="O38">
        <v>5.0999999999999996</v>
      </c>
      <c r="P38" t="s">
        <v>30</v>
      </c>
    </row>
    <row r="39" spans="1:16">
      <c r="A39" t="s">
        <v>125</v>
      </c>
      <c r="B39">
        <v>46178.207997685182</v>
      </c>
      <c r="C39">
        <v>46178.223226030095</v>
      </c>
      <c r="D39">
        <v>46178.556922430558</v>
      </c>
      <c r="E39" t="s">
        <v>75</v>
      </c>
      <c r="F39" t="s">
        <v>3</v>
      </c>
      <c r="G39" t="s">
        <v>94</v>
      </c>
      <c r="H39" t="s">
        <v>84</v>
      </c>
      <c r="I39" t="s">
        <v>73</v>
      </c>
      <c r="J39" t="s">
        <v>16</v>
      </c>
      <c r="K39" t="s">
        <v>68</v>
      </c>
      <c r="L39">
        <v>3</v>
      </c>
      <c r="M39" t="s">
        <v>17</v>
      </c>
      <c r="N39" t="s">
        <v>14</v>
      </c>
      <c r="O39">
        <v>2.1</v>
      </c>
      <c r="P39" t="s">
        <v>18</v>
      </c>
    </row>
    <row r="40" spans="1:16">
      <c r="A40" t="s">
        <v>126</v>
      </c>
      <c r="B40">
        <v>46121.645520833335</v>
      </c>
      <c r="C40">
        <v>46121.84635133102</v>
      </c>
      <c r="D40">
        <v>46122.125395011572</v>
      </c>
      <c r="E40" t="s">
        <v>75</v>
      </c>
      <c r="F40" t="s">
        <v>5</v>
      </c>
      <c r="G40" t="s">
        <v>79</v>
      </c>
      <c r="H40" t="s">
        <v>66</v>
      </c>
      <c r="I40" t="s">
        <v>73</v>
      </c>
      <c r="J40" t="s">
        <v>37</v>
      </c>
      <c r="K40" t="s">
        <v>68</v>
      </c>
      <c r="L40">
        <v>3</v>
      </c>
      <c r="M40" t="s">
        <v>38</v>
      </c>
      <c r="N40" t="s">
        <v>14</v>
      </c>
      <c r="O40">
        <v>1.2</v>
      </c>
      <c r="P40" t="s">
        <v>39</v>
      </c>
    </row>
    <row r="41" spans="1:16">
      <c r="A41" t="s">
        <v>127</v>
      </c>
      <c r="B41">
        <v>46146.708865740744</v>
      </c>
      <c r="C41">
        <v>46146.80557478009</v>
      </c>
      <c r="D41">
        <v>46147.717429097225</v>
      </c>
      <c r="E41" t="s">
        <v>70</v>
      </c>
      <c r="F41" t="s">
        <v>5</v>
      </c>
      <c r="G41" t="s">
        <v>94</v>
      </c>
      <c r="H41" t="s">
        <v>106</v>
      </c>
      <c r="I41" t="s">
        <v>73</v>
      </c>
      <c r="J41" t="s">
        <v>16</v>
      </c>
      <c r="K41" t="s">
        <v>68</v>
      </c>
      <c r="L41">
        <v>4</v>
      </c>
      <c r="M41" t="s">
        <v>17</v>
      </c>
      <c r="N41" t="s">
        <v>14</v>
      </c>
      <c r="O41">
        <v>2.1</v>
      </c>
      <c r="P41" t="s">
        <v>18</v>
      </c>
    </row>
    <row r="42" spans="1:16">
      <c r="A42" t="s">
        <v>128</v>
      </c>
      <c r="B42">
        <v>46131.930115740739</v>
      </c>
      <c r="C42">
        <v>46132.042713576389</v>
      </c>
      <c r="D42">
        <v>46132.413083738429</v>
      </c>
      <c r="E42" t="s">
        <v>75</v>
      </c>
      <c r="F42" t="s">
        <v>5</v>
      </c>
      <c r="G42" t="s">
        <v>79</v>
      </c>
      <c r="H42" t="s">
        <v>88</v>
      </c>
      <c r="I42" t="s">
        <v>67</v>
      </c>
      <c r="J42" t="s">
        <v>37</v>
      </c>
      <c r="K42" t="s">
        <v>85</v>
      </c>
      <c r="L42">
        <v>4</v>
      </c>
      <c r="M42" t="s">
        <v>38</v>
      </c>
      <c r="N42" t="s">
        <v>14</v>
      </c>
      <c r="O42">
        <v>1.2</v>
      </c>
      <c r="P42" t="s">
        <v>39</v>
      </c>
    </row>
    <row r="43" spans="1:16">
      <c r="A43" t="s">
        <v>129</v>
      </c>
      <c r="B43">
        <v>46175.264328703706</v>
      </c>
      <c r="C43">
        <v>46175.338133240744</v>
      </c>
      <c r="D43">
        <v>46175.841108414352</v>
      </c>
      <c r="E43" t="s">
        <v>70</v>
      </c>
      <c r="F43" t="s">
        <v>5</v>
      </c>
      <c r="G43" t="s">
        <v>98</v>
      </c>
      <c r="H43" t="s">
        <v>88</v>
      </c>
      <c r="I43" t="s">
        <v>73</v>
      </c>
      <c r="J43" t="s">
        <v>12</v>
      </c>
      <c r="K43" t="s">
        <v>68</v>
      </c>
      <c r="L43">
        <v>5</v>
      </c>
      <c r="M43" t="s">
        <v>13</v>
      </c>
      <c r="N43" t="s">
        <v>14</v>
      </c>
      <c r="O43">
        <v>4.2</v>
      </c>
      <c r="P43" t="s">
        <v>15</v>
      </c>
    </row>
    <row r="44" spans="1:16">
      <c r="A44" t="s">
        <v>130</v>
      </c>
      <c r="B44">
        <v>46137.430277777778</v>
      </c>
      <c r="C44">
        <v>46137.535190208335</v>
      </c>
      <c r="D44">
        <v>46137.900500833333</v>
      </c>
      <c r="E44" t="s">
        <v>75</v>
      </c>
      <c r="F44" t="s">
        <v>5</v>
      </c>
      <c r="G44" t="s">
        <v>65</v>
      </c>
      <c r="H44" t="s">
        <v>66</v>
      </c>
      <c r="I44" t="s">
        <v>73</v>
      </c>
      <c r="J44" t="s">
        <v>42</v>
      </c>
      <c r="K44" t="s">
        <v>68</v>
      </c>
      <c r="L44">
        <v>5</v>
      </c>
      <c r="M44" t="s">
        <v>43</v>
      </c>
      <c r="N44" t="s">
        <v>21</v>
      </c>
      <c r="O44">
        <v>2.7</v>
      </c>
      <c r="P44" t="s">
        <v>36</v>
      </c>
    </row>
    <row r="45" spans="1:16">
      <c r="A45" t="s">
        <v>131</v>
      </c>
      <c r="B45">
        <v>46174.064814814818</v>
      </c>
      <c r="C45">
        <v>46174.152595</v>
      </c>
      <c r="E45" t="s">
        <v>132</v>
      </c>
      <c r="F45" t="s">
        <v>5</v>
      </c>
      <c r="G45" t="s">
        <v>79</v>
      </c>
      <c r="H45" t="s">
        <v>66</v>
      </c>
      <c r="I45" t="s">
        <v>89</v>
      </c>
      <c r="J45" t="s">
        <v>12</v>
      </c>
      <c r="K45" t="s">
        <v>68</v>
      </c>
      <c r="M45" t="s">
        <v>13</v>
      </c>
      <c r="N45" t="s">
        <v>14</v>
      </c>
      <c r="O45">
        <v>4.2</v>
      </c>
      <c r="P45" t="s">
        <v>15</v>
      </c>
    </row>
    <row r="46" spans="1:16">
      <c r="A46" t="s">
        <v>133</v>
      </c>
      <c r="B46">
        <v>46181.971932870372</v>
      </c>
      <c r="C46">
        <v>46182.387703738423</v>
      </c>
      <c r="D46">
        <v>46185.578568287034</v>
      </c>
      <c r="E46" t="s">
        <v>75</v>
      </c>
      <c r="F46" t="s">
        <v>6</v>
      </c>
      <c r="G46" t="s">
        <v>79</v>
      </c>
      <c r="H46" t="s">
        <v>66</v>
      </c>
      <c r="I46" t="s">
        <v>67</v>
      </c>
      <c r="J46" t="s">
        <v>12</v>
      </c>
      <c r="K46" t="s">
        <v>68</v>
      </c>
      <c r="L46">
        <v>4</v>
      </c>
      <c r="M46" t="s">
        <v>13</v>
      </c>
      <c r="N46" t="s">
        <v>14</v>
      </c>
      <c r="O46">
        <v>4.2</v>
      </c>
      <c r="P46" t="s">
        <v>15</v>
      </c>
    </row>
    <row r="47" spans="1:16">
      <c r="A47" t="s">
        <v>134</v>
      </c>
      <c r="B47">
        <v>46193.591249999998</v>
      </c>
      <c r="C47">
        <v>46193.602609513888</v>
      </c>
      <c r="D47">
        <v>46193.747485509259</v>
      </c>
      <c r="E47" t="s">
        <v>75</v>
      </c>
      <c r="F47" t="s">
        <v>3</v>
      </c>
      <c r="G47" t="s">
        <v>65</v>
      </c>
      <c r="H47" t="s">
        <v>88</v>
      </c>
      <c r="I47" t="s">
        <v>73</v>
      </c>
      <c r="J47" t="s">
        <v>23</v>
      </c>
      <c r="K47" t="s">
        <v>85</v>
      </c>
      <c r="L47">
        <v>3</v>
      </c>
      <c r="M47" t="s">
        <v>24</v>
      </c>
      <c r="N47" t="s">
        <v>21</v>
      </c>
      <c r="O47">
        <v>3.4</v>
      </c>
      <c r="P47" t="s">
        <v>22</v>
      </c>
    </row>
    <row r="48" spans="1:16">
      <c r="A48" t="s">
        <v>135</v>
      </c>
      <c r="B48">
        <v>46137.641643518517</v>
      </c>
      <c r="C48">
        <v>46137.65044834491</v>
      </c>
      <c r="D48">
        <v>46137.711559131945</v>
      </c>
      <c r="E48" t="s">
        <v>70</v>
      </c>
      <c r="F48" t="s">
        <v>3</v>
      </c>
      <c r="G48" t="s">
        <v>65</v>
      </c>
      <c r="H48" t="s">
        <v>109</v>
      </c>
      <c r="I48" t="s">
        <v>89</v>
      </c>
      <c r="J48" t="s">
        <v>42</v>
      </c>
      <c r="K48" t="s">
        <v>68</v>
      </c>
      <c r="L48">
        <v>5</v>
      </c>
      <c r="M48" t="s">
        <v>43</v>
      </c>
      <c r="N48" t="s">
        <v>21</v>
      </c>
      <c r="O48">
        <v>2.7</v>
      </c>
      <c r="P48" t="s">
        <v>36</v>
      </c>
    </row>
    <row r="49" spans="1:16">
      <c r="A49" t="s">
        <v>136</v>
      </c>
      <c r="B49">
        <v>46192.388668981483</v>
      </c>
      <c r="C49">
        <v>46192.399710925929</v>
      </c>
      <c r="D49">
        <v>46192.526640011572</v>
      </c>
      <c r="E49" t="s">
        <v>75</v>
      </c>
      <c r="F49" t="s">
        <v>3</v>
      </c>
      <c r="G49" t="s">
        <v>71</v>
      </c>
      <c r="H49" t="s">
        <v>72</v>
      </c>
      <c r="I49" t="s">
        <v>73</v>
      </c>
      <c r="J49" t="s">
        <v>28</v>
      </c>
      <c r="K49" t="s">
        <v>68</v>
      </c>
      <c r="L49">
        <v>5</v>
      </c>
      <c r="M49" t="s">
        <v>29</v>
      </c>
      <c r="N49" t="s">
        <v>27</v>
      </c>
      <c r="O49">
        <v>1.8</v>
      </c>
      <c r="P49" t="s">
        <v>30</v>
      </c>
    </row>
    <row r="50" spans="1:16">
      <c r="A50" t="s">
        <v>137</v>
      </c>
      <c r="B50">
        <v>46137.838831018518</v>
      </c>
      <c r="C50">
        <v>46138.033425729169</v>
      </c>
      <c r="D50">
        <v>46141.043908842592</v>
      </c>
      <c r="E50" t="s">
        <v>75</v>
      </c>
      <c r="F50" t="s">
        <v>6</v>
      </c>
      <c r="G50" t="s">
        <v>79</v>
      </c>
      <c r="H50" t="s">
        <v>109</v>
      </c>
      <c r="I50" t="s">
        <v>73</v>
      </c>
      <c r="J50" t="s">
        <v>16</v>
      </c>
      <c r="K50" t="s">
        <v>68</v>
      </c>
      <c r="L50">
        <v>4</v>
      </c>
      <c r="M50" t="s">
        <v>17</v>
      </c>
      <c r="N50" t="s">
        <v>14</v>
      </c>
      <c r="O50">
        <v>2.1</v>
      </c>
      <c r="P50" t="s">
        <v>18</v>
      </c>
    </row>
    <row r="51" spans="1:16">
      <c r="A51" t="s">
        <v>138</v>
      </c>
      <c r="B51">
        <v>46203.401423611111</v>
      </c>
      <c r="C51">
        <v>46203.729046377317</v>
      </c>
      <c r="D51">
        <v>46204.2211030787</v>
      </c>
      <c r="E51" t="s">
        <v>75</v>
      </c>
      <c r="F51" t="s">
        <v>6</v>
      </c>
      <c r="G51" t="s">
        <v>79</v>
      </c>
      <c r="H51" t="s">
        <v>80</v>
      </c>
      <c r="I51" t="s">
        <v>92</v>
      </c>
      <c r="J51" t="s">
        <v>16</v>
      </c>
      <c r="K51" t="s">
        <v>68</v>
      </c>
      <c r="L51">
        <v>5</v>
      </c>
      <c r="M51" t="s">
        <v>17</v>
      </c>
      <c r="N51" t="s">
        <v>14</v>
      </c>
      <c r="O51">
        <v>2.1</v>
      </c>
      <c r="P51" t="s">
        <v>18</v>
      </c>
    </row>
    <row r="52" spans="1:16">
      <c r="A52" t="s">
        <v>139</v>
      </c>
      <c r="B52">
        <v>46124.738159722219</v>
      </c>
      <c r="C52">
        <v>46124.770797939818</v>
      </c>
      <c r="D52">
        <v>46124.989433449075</v>
      </c>
      <c r="E52" t="s">
        <v>75</v>
      </c>
      <c r="F52" t="s">
        <v>4</v>
      </c>
      <c r="G52" t="s">
        <v>76</v>
      </c>
      <c r="H52" t="s">
        <v>88</v>
      </c>
      <c r="I52" t="s">
        <v>73</v>
      </c>
      <c r="J52" t="s">
        <v>40</v>
      </c>
      <c r="K52" t="s">
        <v>68</v>
      </c>
      <c r="L52">
        <v>4</v>
      </c>
      <c r="M52" t="s">
        <v>41</v>
      </c>
      <c r="N52" t="s">
        <v>27</v>
      </c>
      <c r="O52">
        <v>4.8</v>
      </c>
      <c r="P52" t="s">
        <v>39</v>
      </c>
    </row>
    <row r="53" spans="1:16">
      <c r="A53" t="s">
        <v>140</v>
      </c>
      <c r="B53">
        <v>46126.586967592593</v>
      </c>
      <c r="C53">
        <v>46126.749739918982</v>
      </c>
      <c r="D53">
        <v>46128.196044803241</v>
      </c>
      <c r="E53" t="s">
        <v>75</v>
      </c>
      <c r="F53" t="s">
        <v>5</v>
      </c>
      <c r="G53" t="s">
        <v>98</v>
      </c>
      <c r="H53" t="s">
        <v>106</v>
      </c>
      <c r="I53" t="s">
        <v>73</v>
      </c>
      <c r="J53" t="s">
        <v>16</v>
      </c>
      <c r="K53" t="s">
        <v>68</v>
      </c>
      <c r="L53">
        <v>4</v>
      </c>
      <c r="M53" t="s">
        <v>17</v>
      </c>
      <c r="N53" t="s">
        <v>14</v>
      </c>
      <c r="O53">
        <v>2.1</v>
      </c>
      <c r="P53" t="s">
        <v>18</v>
      </c>
    </row>
    <row r="54" spans="1:16">
      <c r="A54" t="s">
        <v>141</v>
      </c>
      <c r="B54">
        <v>46144.574814814812</v>
      </c>
      <c r="C54">
        <v>46144.720714467592</v>
      </c>
      <c r="D54">
        <v>46145.273136597221</v>
      </c>
      <c r="E54" t="s">
        <v>70</v>
      </c>
      <c r="F54" t="s">
        <v>6</v>
      </c>
      <c r="G54" t="s">
        <v>98</v>
      </c>
      <c r="H54" t="s">
        <v>72</v>
      </c>
      <c r="I54" t="s">
        <v>67</v>
      </c>
      <c r="J54" t="s">
        <v>12</v>
      </c>
      <c r="K54" t="s">
        <v>68</v>
      </c>
      <c r="L54">
        <v>4</v>
      </c>
      <c r="M54" t="s">
        <v>13</v>
      </c>
      <c r="N54" t="s">
        <v>14</v>
      </c>
      <c r="O54">
        <v>4.2</v>
      </c>
      <c r="P54" t="s">
        <v>15</v>
      </c>
    </row>
    <row r="55" spans="1:16">
      <c r="A55" t="s">
        <v>142</v>
      </c>
      <c r="B55">
        <v>46176.638090277775</v>
      </c>
      <c r="C55">
        <v>46176.670002152779</v>
      </c>
      <c r="D55">
        <v>46177.057812407409</v>
      </c>
      <c r="E55" t="s">
        <v>75</v>
      </c>
      <c r="F55" t="s">
        <v>4</v>
      </c>
      <c r="G55" t="s">
        <v>83</v>
      </c>
      <c r="H55" t="s">
        <v>84</v>
      </c>
      <c r="I55" t="s">
        <v>92</v>
      </c>
      <c r="J55" t="s">
        <v>31</v>
      </c>
      <c r="K55" t="s">
        <v>85</v>
      </c>
      <c r="L55">
        <v>3</v>
      </c>
      <c r="M55" t="s">
        <v>32</v>
      </c>
      <c r="N55" t="s">
        <v>33</v>
      </c>
      <c r="O55">
        <v>7.1</v>
      </c>
      <c r="P55" t="s">
        <v>18</v>
      </c>
    </row>
    <row r="56" spans="1:16">
      <c r="A56" t="s">
        <v>143</v>
      </c>
      <c r="B56">
        <v>46165.142916666664</v>
      </c>
      <c r="C56">
        <v>46165.300137916667</v>
      </c>
      <c r="D56">
        <v>46165.386814537036</v>
      </c>
      <c r="E56" t="s">
        <v>75</v>
      </c>
      <c r="F56" t="s">
        <v>5</v>
      </c>
      <c r="G56" t="s">
        <v>94</v>
      </c>
      <c r="H56" t="s">
        <v>77</v>
      </c>
      <c r="I56" t="s">
        <v>73</v>
      </c>
      <c r="J56" t="s">
        <v>37</v>
      </c>
      <c r="K56" t="s">
        <v>68</v>
      </c>
      <c r="L56">
        <v>5</v>
      </c>
      <c r="M56" t="s">
        <v>38</v>
      </c>
      <c r="N56" t="s">
        <v>14</v>
      </c>
      <c r="O56">
        <v>1.2</v>
      </c>
      <c r="P56" t="s">
        <v>39</v>
      </c>
    </row>
    <row r="57" spans="1:16">
      <c r="A57" t="s">
        <v>144</v>
      </c>
      <c r="B57">
        <v>46201.047106481485</v>
      </c>
      <c r="C57">
        <v>46201.050739652776</v>
      </c>
      <c r="D57">
        <v>46201.138486261574</v>
      </c>
      <c r="E57" t="s">
        <v>75</v>
      </c>
      <c r="F57" t="s">
        <v>3</v>
      </c>
      <c r="G57" t="s">
        <v>65</v>
      </c>
      <c r="H57" t="s">
        <v>88</v>
      </c>
      <c r="I57" t="s">
        <v>73</v>
      </c>
      <c r="J57" t="s">
        <v>19</v>
      </c>
      <c r="K57" t="s">
        <v>68</v>
      </c>
      <c r="L57">
        <v>4</v>
      </c>
      <c r="M57" t="s">
        <v>20</v>
      </c>
      <c r="N57" t="s">
        <v>21</v>
      </c>
      <c r="O57">
        <v>5.6</v>
      </c>
      <c r="P57" t="s">
        <v>22</v>
      </c>
    </row>
    <row r="58" spans="1:16">
      <c r="A58" t="s">
        <v>145</v>
      </c>
      <c r="B58">
        <v>46201.960231481484</v>
      </c>
      <c r="C58">
        <v>46201.980484409723</v>
      </c>
      <c r="D58">
        <v>46202.145332442131</v>
      </c>
      <c r="E58" t="s">
        <v>75</v>
      </c>
      <c r="F58" t="s">
        <v>4</v>
      </c>
      <c r="G58" t="s">
        <v>76</v>
      </c>
      <c r="H58" t="s">
        <v>88</v>
      </c>
      <c r="I58" t="s">
        <v>73</v>
      </c>
      <c r="J58" t="s">
        <v>40</v>
      </c>
      <c r="K58" t="s">
        <v>68</v>
      </c>
      <c r="L58">
        <v>4</v>
      </c>
      <c r="M58" t="s">
        <v>41</v>
      </c>
      <c r="N58" t="s">
        <v>27</v>
      </c>
      <c r="O58">
        <v>4.8</v>
      </c>
      <c r="P58" t="s">
        <v>39</v>
      </c>
    </row>
    <row r="59" spans="1:16">
      <c r="A59" t="s">
        <v>146</v>
      </c>
      <c r="B59">
        <v>46195.40420138889</v>
      </c>
      <c r="C59">
        <v>46195.695567986113</v>
      </c>
      <c r="E59" t="s">
        <v>64</v>
      </c>
      <c r="F59" t="s">
        <v>6</v>
      </c>
      <c r="G59" t="s">
        <v>79</v>
      </c>
      <c r="H59" t="s">
        <v>80</v>
      </c>
      <c r="I59" t="s">
        <v>73</v>
      </c>
      <c r="J59" t="s">
        <v>16</v>
      </c>
      <c r="K59" t="s">
        <v>68</v>
      </c>
      <c r="M59" t="s">
        <v>17</v>
      </c>
      <c r="N59" t="s">
        <v>14</v>
      </c>
      <c r="O59">
        <v>2.1</v>
      </c>
      <c r="P59" t="s">
        <v>18</v>
      </c>
    </row>
    <row r="60" spans="1:16">
      <c r="A60" t="s">
        <v>147</v>
      </c>
      <c r="B60">
        <v>46201.745462962965</v>
      </c>
      <c r="C60">
        <v>46201.853488379631</v>
      </c>
      <c r="D60">
        <v>46202.08855763889</v>
      </c>
      <c r="E60" t="s">
        <v>75</v>
      </c>
      <c r="F60" t="s">
        <v>5</v>
      </c>
      <c r="G60" t="s">
        <v>76</v>
      </c>
      <c r="H60" t="s">
        <v>66</v>
      </c>
      <c r="I60" t="s">
        <v>67</v>
      </c>
      <c r="J60" t="s">
        <v>28</v>
      </c>
      <c r="K60" t="s">
        <v>68</v>
      </c>
      <c r="L60">
        <v>5</v>
      </c>
      <c r="M60" t="s">
        <v>29</v>
      </c>
      <c r="N60" t="s">
        <v>27</v>
      </c>
      <c r="O60">
        <v>1.8</v>
      </c>
      <c r="P60" t="s">
        <v>30</v>
      </c>
    </row>
    <row r="61" spans="1:16">
      <c r="A61" t="s">
        <v>148</v>
      </c>
      <c r="B61">
        <v>46117.160879629628</v>
      </c>
      <c r="C61">
        <v>46117.402492361114</v>
      </c>
      <c r="D61">
        <v>46117.989007152777</v>
      </c>
      <c r="E61" t="s">
        <v>70</v>
      </c>
      <c r="F61" t="s">
        <v>5</v>
      </c>
      <c r="G61" t="s">
        <v>79</v>
      </c>
      <c r="H61" t="s">
        <v>106</v>
      </c>
      <c r="I61" t="s">
        <v>73</v>
      </c>
      <c r="J61" t="s">
        <v>37</v>
      </c>
      <c r="K61" t="s">
        <v>68</v>
      </c>
      <c r="L61">
        <v>4</v>
      </c>
      <c r="M61" t="s">
        <v>38</v>
      </c>
      <c r="N61" t="s">
        <v>14</v>
      </c>
      <c r="O61">
        <v>1.2</v>
      </c>
      <c r="P61" t="s">
        <v>39</v>
      </c>
    </row>
    <row r="62" spans="1:16">
      <c r="A62" t="s">
        <v>149</v>
      </c>
      <c r="B62">
        <v>46162.052766203706</v>
      </c>
      <c r="C62">
        <v>46162.177556736111</v>
      </c>
      <c r="E62" t="s">
        <v>64</v>
      </c>
      <c r="F62" t="s">
        <v>5</v>
      </c>
      <c r="G62" t="s">
        <v>83</v>
      </c>
      <c r="H62" t="s">
        <v>77</v>
      </c>
      <c r="I62" t="s">
        <v>67</v>
      </c>
      <c r="J62" t="s">
        <v>34</v>
      </c>
      <c r="K62" t="s">
        <v>68</v>
      </c>
      <c r="M62" t="s">
        <v>35</v>
      </c>
      <c r="N62" t="s">
        <v>33</v>
      </c>
      <c r="O62">
        <v>3</v>
      </c>
      <c r="P62" t="s">
        <v>36</v>
      </c>
    </row>
    <row r="63" spans="1:16">
      <c r="A63" t="s">
        <v>150</v>
      </c>
      <c r="B63">
        <v>46157.488668981481</v>
      </c>
      <c r="C63">
        <v>46157.554837615739</v>
      </c>
      <c r="D63">
        <v>46158.736833402778</v>
      </c>
      <c r="E63" t="s">
        <v>75</v>
      </c>
      <c r="F63" t="s">
        <v>5</v>
      </c>
      <c r="G63" t="s">
        <v>94</v>
      </c>
      <c r="H63" t="s">
        <v>72</v>
      </c>
      <c r="I63" t="s">
        <v>92</v>
      </c>
      <c r="J63" t="s">
        <v>16</v>
      </c>
      <c r="K63" t="s">
        <v>68</v>
      </c>
      <c r="L63">
        <v>4</v>
      </c>
      <c r="M63" t="s">
        <v>17</v>
      </c>
      <c r="N63" t="s">
        <v>14</v>
      </c>
      <c r="O63">
        <v>2.1</v>
      </c>
      <c r="P63" t="s">
        <v>18</v>
      </c>
    </row>
    <row r="64" spans="1:16">
      <c r="A64" t="s">
        <v>151</v>
      </c>
      <c r="B64">
        <v>46152.974918981483</v>
      </c>
      <c r="C64">
        <v>46152.979141377313</v>
      </c>
      <c r="D64">
        <v>46153.032211365738</v>
      </c>
      <c r="E64" t="s">
        <v>75</v>
      </c>
      <c r="F64" t="s">
        <v>3</v>
      </c>
      <c r="G64" t="s">
        <v>65</v>
      </c>
      <c r="H64" t="s">
        <v>88</v>
      </c>
      <c r="I64" t="s">
        <v>73</v>
      </c>
      <c r="J64" t="s">
        <v>19</v>
      </c>
      <c r="K64" t="s">
        <v>68</v>
      </c>
      <c r="L64">
        <v>4</v>
      </c>
      <c r="M64" t="s">
        <v>20</v>
      </c>
      <c r="N64" t="s">
        <v>21</v>
      </c>
      <c r="O64">
        <v>5.6</v>
      </c>
      <c r="P64" t="s">
        <v>22</v>
      </c>
    </row>
    <row r="65" spans="1:16">
      <c r="A65" t="s">
        <v>152</v>
      </c>
      <c r="B65">
        <v>46170.358414351853</v>
      </c>
      <c r="C65">
        <v>46170.37820334491</v>
      </c>
      <c r="D65">
        <v>46170.509089687497</v>
      </c>
      <c r="E65" t="s">
        <v>75</v>
      </c>
      <c r="F65" t="s">
        <v>3</v>
      </c>
      <c r="G65" t="s">
        <v>105</v>
      </c>
      <c r="H65" t="s">
        <v>80</v>
      </c>
      <c r="I65" t="s">
        <v>89</v>
      </c>
      <c r="J65" t="s">
        <v>34</v>
      </c>
      <c r="K65" t="s">
        <v>68</v>
      </c>
      <c r="L65">
        <v>5</v>
      </c>
      <c r="M65" t="s">
        <v>35</v>
      </c>
      <c r="N65" t="s">
        <v>33</v>
      </c>
      <c r="O65">
        <v>3</v>
      </c>
      <c r="P65" t="s">
        <v>36</v>
      </c>
    </row>
    <row r="66" spans="1:16">
      <c r="A66" t="s">
        <v>153</v>
      </c>
      <c r="B66">
        <v>46200.879351851851</v>
      </c>
      <c r="C66">
        <v>46200.906952372687</v>
      </c>
      <c r="D66">
        <v>46201.055227002318</v>
      </c>
      <c r="E66" t="s">
        <v>70</v>
      </c>
      <c r="F66" t="s">
        <v>4</v>
      </c>
      <c r="G66" t="s">
        <v>83</v>
      </c>
      <c r="H66" t="s">
        <v>88</v>
      </c>
      <c r="I66" t="s">
        <v>92</v>
      </c>
      <c r="J66" t="s">
        <v>34</v>
      </c>
      <c r="K66" t="s">
        <v>68</v>
      </c>
      <c r="L66">
        <v>5</v>
      </c>
      <c r="M66" t="s">
        <v>35</v>
      </c>
      <c r="N66" t="s">
        <v>33</v>
      </c>
      <c r="O66">
        <v>3</v>
      </c>
      <c r="P66" t="s">
        <v>36</v>
      </c>
    </row>
    <row r="67" spans="1:16">
      <c r="A67" t="s">
        <v>154</v>
      </c>
      <c r="B67">
        <v>46193.900648148148</v>
      </c>
      <c r="C67">
        <v>46193.953805509256</v>
      </c>
      <c r="D67">
        <v>46194.218893807869</v>
      </c>
      <c r="E67" t="s">
        <v>75</v>
      </c>
      <c r="F67" t="s">
        <v>4</v>
      </c>
      <c r="G67" t="s">
        <v>105</v>
      </c>
      <c r="H67" t="s">
        <v>66</v>
      </c>
      <c r="I67" t="s">
        <v>67</v>
      </c>
      <c r="J67" t="s">
        <v>31</v>
      </c>
      <c r="K67" t="s">
        <v>68</v>
      </c>
      <c r="L67">
        <v>4</v>
      </c>
      <c r="M67" t="s">
        <v>32</v>
      </c>
      <c r="N67" t="s">
        <v>33</v>
      </c>
      <c r="O67">
        <v>7.1</v>
      </c>
      <c r="P67" t="s">
        <v>18</v>
      </c>
    </row>
    <row r="68" spans="1:16">
      <c r="A68" t="s">
        <v>155</v>
      </c>
      <c r="B68">
        <v>46114.865520833337</v>
      </c>
      <c r="C68">
        <v>46114.869050590278</v>
      </c>
      <c r="D68">
        <v>46114.914669641206</v>
      </c>
      <c r="E68" t="s">
        <v>75</v>
      </c>
      <c r="F68" t="s">
        <v>3</v>
      </c>
      <c r="G68" t="s">
        <v>65</v>
      </c>
      <c r="H68" t="s">
        <v>72</v>
      </c>
      <c r="I68" t="s">
        <v>73</v>
      </c>
      <c r="J68" t="s">
        <v>42</v>
      </c>
      <c r="K68" t="s">
        <v>68</v>
      </c>
      <c r="L68">
        <v>4</v>
      </c>
      <c r="M68" t="s">
        <v>43</v>
      </c>
      <c r="N68" t="s">
        <v>21</v>
      </c>
      <c r="O68">
        <v>2.7</v>
      </c>
      <c r="P68" t="s">
        <v>36</v>
      </c>
    </row>
    <row r="69" spans="1:16">
      <c r="A69" t="s">
        <v>156</v>
      </c>
      <c r="B69">
        <v>46183.941620370373</v>
      </c>
      <c r="C69">
        <v>46184.130933032407</v>
      </c>
      <c r="D69">
        <v>46184.365257627316</v>
      </c>
      <c r="E69" t="s">
        <v>75</v>
      </c>
      <c r="F69" t="s">
        <v>5</v>
      </c>
      <c r="G69" t="s">
        <v>105</v>
      </c>
      <c r="H69" t="s">
        <v>88</v>
      </c>
      <c r="I69" t="s">
        <v>89</v>
      </c>
      <c r="J69" t="s">
        <v>44</v>
      </c>
      <c r="K69" t="s">
        <v>85</v>
      </c>
      <c r="L69">
        <v>2</v>
      </c>
      <c r="M69" t="s">
        <v>45</v>
      </c>
      <c r="N69" t="s">
        <v>33</v>
      </c>
      <c r="O69">
        <v>5.0999999999999996</v>
      </c>
      <c r="P69" t="s">
        <v>30</v>
      </c>
    </row>
    <row r="70" spans="1:16">
      <c r="A70" t="s">
        <v>157</v>
      </c>
      <c r="B70">
        <v>46182.476504629631</v>
      </c>
      <c r="C70">
        <v>46182.71676758102</v>
      </c>
      <c r="D70">
        <v>46183.114549872684</v>
      </c>
      <c r="E70" t="s">
        <v>75</v>
      </c>
      <c r="F70" t="s">
        <v>6</v>
      </c>
      <c r="G70" t="s">
        <v>79</v>
      </c>
      <c r="H70" t="s">
        <v>88</v>
      </c>
      <c r="I70" t="s">
        <v>89</v>
      </c>
      <c r="J70" t="s">
        <v>37</v>
      </c>
      <c r="K70" t="s">
        <v>68</v>
      </c>
      <c r="L70">
        <v>4</v>
      </c>
      <c r="M70" t="s">
        <v>38</v>
      </c>
      <c r="N70" t="s">
        <v>14</v>
      </c>
      <c r="O70">
        <v>1.2</v>
      </c>
      <c r="P70" t="s">
        <v>39</v>
      </c>
    </row>
    <row r="71" spans="1:16">
      <c r="A71" t="s">
        <v>158</v>
      </c>
      <c r="B71">
        <v>46155.08898148148</v>
      </c>
      <c r="C71">
        <v>46155.105415196762</v>
      </c>
      <c r="D71">
        <v>46155.385288668978</v>
      </c>
      <c r="E71" t="s">
        <v>70</v>
      </c>
      <c r="F71" t="s">
        <v>4</v>
      </c>
      <c r="G71" t="s">
        <v>94</v>
      </c>
      <c r="H71" t="s">
        <v>77</v>
      </c>
      <c r="I71" t="s">
        <v>73</v>
      </c>
      <c r="J71" t="s">
        <v>16</v>
      </c>
      <c r="K71" t="s">
        <v>68</v>
      </c>
      <c r="L71">
        <v>5</v>
      </c>
      <c r="M71" t="s">
        <v>17</v>
      </c>
      <c r="N71" t="s">
        <v>14</v>
      </c>
      <c r="O71">
        <v>2.1</v>
      </c>
      <c r="P71" t="s">
        <v>18</v>
      </c>
    </row>
    <row r="72" spans="1:16">
      <c r="A72" t="s">
        <v>159</v>
      </c>
      <c r="B72">
        <v>46122.708807870367</v>
      </c>
      <c r="C72">
        <v>46122.72531627315</v>
      </c>
      <c r="D72">
        <v>46123.185875173614</v>
      </c>
      <c r="E72" t="s">
        <v>75</v>
      </c>
      <c r="F72" t="s">
        <v>4</v>
      </c>
      <c r="G72" t="s">
        <v>105</v>
      </c>
      <c r="H72" t="s">
        <v>109</v>
      </c>
      <c r="I72" t="s">
        <v>89</v>
      </c>
      <c r="J72" t="s">
        <v>31</v>
      </c>
      <c r="K72" t="s">
        <v>68</v>
      </c>
      <c r="L72">
        <v>3</v>
      </c>
      <c r="M72" t="s">
        <v>32</v>
      </c>
      <c r="N72" t="s">
        <v>33</v>
      </c>
      <c r="O72">
        <v>7.1</v>
      </c>
      <c r="P72" t="s">
        <v>18</v>
      </c>
    </row>
    <row r="73" spans="1:16">
      <c r="A73" t="s">
        <v>160</v>
      </c>
      <c r="B73">
        <v>46143.669108796297</v>
      </c>
      <c r="C73">
        <v>46143.808855625</v>
      </c>
      <c r="D73">
        <v>46144.266379606481</v>
      </c>
      <c r="E73" t="s">
        <v>75</v>
      </c>
      <c r="F73" t="s">
        <v>5</v>
      </c>
      <c r="G73" t="s">
        <v>94</v>
      </c>
      <c r="H73" t="s">
        <v>84</v>
      </c>
      <c r="I73" t="s">
        <v>89</v>
      </c>
      <c r="J73" t="s">
        <v>12</v>
      </c>
      <c r="K73" t="s">
        <v>68</v>
      </c>
      <c r="L73">
        <v>4</v>
      </c>
      <c r="M73" t="s">
        <v>13</v>
      </c>
      <c r="N73" t="s">
        <v>14</v>
      </c>
      <c r="O73">
        <v>4.2</v>
      </c>
      <c r="P73" t="s">
        <v>15</v>
      </c>
    </row>
    <row r="74" spans="1:16">
      <c r="A74" t="s">
        <v>161</v>
      </c>
      <c r="B74">
        <v>46173.69672453704</v>
      </c>
      <c r="C74">
        <v>46173.828502581018</v>
      </c>
      <c r="D74">
        <v>46175.143150069445</v>
      </c>
      <c r="E74" t="s">
        <v>75</v>
      </c>
      <c r="F74" t="s">
        <v>5</v>
      </c>
      <c r="G74" t="s">
        <v>76</v>
      </c>
      <c r="H74" t="s">
        <v>88</v>
      </c>
      <c r="I74" t="s">
        <v>73</v>
      </c>
      <c r="J74" t="s">
        <v>25</v>
      </c>
      <c r="K74" t="s">
        <v>68</v>
      </c>
      <c r="L74">
        <v>3</v>
      </c>
      <c r="M74" t="s">
        <v>26</v>
      </c>
      <c r="N74" t="s">
        <v>27</v>
      </c>
      <c r="O74">
        <v>6.3</v>
      </c>
      <c r="P74" t="s">
        <v>15</v>
      </c>
    </row>
    <row r="75" spans="1:16">
      <c r="A75" t="s">
        <v>162</v>
      </c>
      <c r="B75">
        <v>46116.309837962966</v>
      </c>
      <c r="C75">
        <v>46116.322746527774</v>
      </c>
      <c r="D75">
        <v>46116.582365798611</v>
      </c>
      <c r="E75" t="s">
        <v>75</v>
      </c>
      <c r="F75" t="s">
        <v>4</v>
      </c>
      <c r="G75" t="s">
        <v>65</v>
      </c>
      <c r="H75" t="s">
        <v>72</v>
      </c>
      <c r="I75" t="s">
        <v>73</v>
      </c>
      <c r="J75" t="s">
        <v>23</v>
      </c>
      <c r="K75" t="s">
        <v>68</v>
      </c>
      <c r="L75">
        <v>4</v>
      </c>
      <c r="M75" t="s">
        <v>24</v>
      </c>
      <c r="N75" t="s">
        <v>21</v>
      </c>
      <c r="O75">
        <v>3.4</v>
      </c>
      <c r="P75" t="s">
        <v>22</v>
      </c>
    </row>
    <row r="76" spans="1:16">
      <c r="A76" t="s">
        <v>163</v>
      </c>
      <c r="B76">
        <v>46139.751898148148</v>
      </c>
      <c r="C76">
        <v>46139.9160959375</v>
      </c>
      <c r="D76">
        <v>46140.490304398147</v>
      </c>
      <c r="E76" t="s">
        <v>75</v>
      </c>
      <c r="F76" t="s">
        <v>5</v>
      </c>
      <c r="G76" t="s">
        <v>94</v>
      </c>
      <c r="H76" t="s">
        <v>77</v>
      </c>
      <c r="I76" t="s">
        <v>73</v>
      </c>
      <c r="J76" t="s">
        <v>37</v>
      </c>
      <c r="K76" t="s">
        <v>68</v>
      </c>
      <c r="L76">
        <v>4</v>
      </c>
      <c r="M76" t="s">
        <v>38</v>
      </c>
      <c r="N76" t="s">
        <v>14</v>
      </c>
      <c r="O76">
        <v>1.2</v>
      </c>
      <c r="P76" t="s">
        <v>39</v>
      </c>
    </row>
    <row r="77" spans="1:16">
      <c r="A77" t="s">
        <v>164</v>
      </c>
      <c r="B77">
        <v>46117.74291666667</v>
      </c>
      <c r="C77">
        <v>46117.940285300923</v>
      </c>
      <c r="E77" t="s">
        <v>132</v>
      </c>
      <c r="F77" t="s">
        <v>6</v>
      </c>
      <c r="G77" t="s">
        <v>79</v>
      </c>
      <c r="H77" t="s">
        <v>109</v>
      </c>
      <c r="I77" t="s">
        <v>73</v>
      </c>
      <c r="J77" t="s">
        <v>12</v>
      </c>
      <c r="K77" t="s">
        <v>68</v>
      </c>
      <c r="M77" t="s">
        <v>13</v>
      </c>
      <c r="N77" t="s">
        <v>14</v>
      </c>
      <c r="O77">
        <v>4.2</v>
      </c>
      <c r="P77" t="s">
        <v>15</v>
      </c>
    </row>
    <row r="78" spans="1:16">
      <c r="A78" t="s">
        <v>165</v>
      </c>
      <c r="B78">
        <v>46130.391597222224</v>
      </c>
      <c r="C78">
        <v>46130.41859533565</v>
      </c>
      <c r="D78">
        <v>46130.534546053241</v>
      </c>
      <c r="E78" t="s">
        <v>75</v>
      </c>
      <c r="F78" t="s">
        <v>4</v>
      </c>
      <c r="G78" t="s">
        <v>65</v>
      </c>
      <c r="H78" t="s">
        <v>106</v>
      </c>
      <c r="I78" t="s">
        <v>73</v>
      </c>
      <c r="J78" t="s">
        <v>19</v>
      </c>
      <c r="K78" t="s">
        <v>68</v>
      </c>
      <c r="L78">
        <v>4</v>
      </c>
      <c r="M78" t="s">
        <v>20</v>
      </c>
      <c r="N78" t="s">
        <v>21</v>
      </c>
      <c r="O78">
        <v>5.6</v>
      </c>
      <c r="P78" t="s">
        <v>22</v>
      </c>
    </row>
    <row r="79" spans="1:16">
      <c r="A79" t="s">
        <v>166</v>
      </c>
      <c r="B79">
        <v>46152.658067129632</v>
      </c>
      <c r="C79">
        <v>46152.662116284722</v>
      </c>
      <c r="D79">
        <v>46152.72835701389</v>
      </c>
      <c r="E79" t="s">
        <v>75</v>
      </c>
      <c r="F79" t="s">
        <v>3</v>
      </c>
      <c r="G79" t="s">
        <v>65</v>
      </c>
      <c r="H79" t="s">
        <v>77</v>
      </c>
      <c r="I79" t="s">
        <v>92</v>
      </c>
      <c r="J79" t="s">
        <v>42</v>
      </c>
      <c r="K79" t="s">
        <v>68</v>
      </c>
      <c r="L79">
        <v>4</v>
      </c>
      <c r="M79" t="s">
        <v>43</v>
      </c>
      <c r="N79" t="s">
        <v>21</v>
      </c>
      <c r="O79">
        <v>2.7</v>
      </c>
      <c r="P79" t="s">
        <v>36</v>
      </c>
    </row>
    <row r="80" spans="1:16">
      <c r="A80" t="s">
        <v>167</v>
      </c>
      <c r="B80">
        <v>46129.657395833332</v>
      </c>
      <c r="C80">
        <v>46129.672262349537</v>
      </c>
      <c r="D80">
        <v>46129.843979502315</v>
      </c>
      <c r="E80" t="s">
        <v>75</v>
      </c>
      <c r="F80" t="s">
        <v>4</v>
      </c>
      <c r="G80" t="s">
        <v>65</v>
      </c>
      <c r="H80" t="s">
        <v>66</v>
      </c>
      <c r="I80" t="s">
        <v>73</v>
      </c>
      <c r="J80" t="s">
        <v>42</v>
      </c>
      <c r="K80" t="s">
        <v>68</v>
      </c>
      <c r="L80">
        <v>5</v>
      </c>
      <c r="M80" t="s">
        <v>43</v>
      </c>
      <c r="N80" t="s">
        <v>21</v>
      </c>
      <c r="O80">
        <v>2.7</v>
      </c>
      <c r="P80" t="s">
        <v>36</v>
      </c>
    </row>
    <row r="81" spans="1:16">
      <c r="A81" t="s">
        <v>168</v>
      </c>
      <c r="B81">
        <v>46173.96837962963</v>
      </c>
      <c r="C81">
        <v>46174.240365752317</v>
      </c>
      <c r="D81">
        <v>46175.309541249997</v>
      </c>
      <c r="E81" t="s">
        <v>75</v>
      </c>
      <c r="F81" t="s">
        <v>6</v>
      </c>
      <c r="G81" t="s">
        <v>79</v>
      </c>
      <c r="H81" t="s">
        <v>84</v>
      </c>
      <c r="I81" t="s">
        <v>73</v>
      </c>
      <c r="J81" t="s">
        <v>16</v>
      </c>
      <c r="K81" t="s">
        <v>68</v>
      </c>
      <c r="L81">
        <v>4</v>
      </c>
      <c r="M81" t="s">
        <v>17</v>
      </c>
      <c r="N81" t="s">
        <v>14</v>
      </c>
      <c r="O81">
        <v>2.1</v>
      </c>
      <c r="P81" t="s">
        <v>18</v>
      </c>
    </row>
    <row r="82" spans="1:16">
      <c r="A82" t="s">
        <v>169</v>
      </c>
      <c r="B82">
        <v>46118.856805555559</v>
      </c>
      <c r="C82">
        <v>46118.903652071756</v>
      </c>
      <c r="D82">
        <v>46119.442186736109</v>
      </c>
      <c r="E82" t="s">
        <v>75</v>
      </c>
      <c r="F82" t="s">
        <v>4</v>
      </c>
      <c r="G82" t="s">
        <v>94</v>
      </c>
      <c r="H82" t="s">
        <v>80</v>
      </c>
      <c r="I82" t="s">
        <v>73</v>
      </c>
      <c r="J82" t="s">
        <v>37</v>
      </c>
      <c r="K82" t="s">
        <v>68</v>
      </c>
      <c r="L82">
        <v>3</v>
      </c>
      <c r="M82" t="s">
        <v>38</v>
      </c>
      <c r="N82" t="s">
        <v>14</v>
      </c>
      <c r="O82">
        <v>1.2</v>
      </c>
      <c r="P82" t="s">
        <v>39</v>
      </c>
    </row>
    <row r="83" spans="1:16">
      <c r="A83" t="s">
        <v>170</v>
      </c>
      <c r="B83">
        <v>46119.340671296297</v>
      </c>
      <c r="C83">
        <v>46119.570451145832</v>
      </c>
      <c r="D83">
        <v>46119.604158043985</v>
      </c>
      <c r="E83" t="s">
        <v>70</v>
      </c>
      <c r="F83" t="s">
        <v>6</v>
      </c>
      <c r="G83" t="s">
        <v>94</v>
      </c>
      <c r="H83" t="s">
        <v>80</v>
      </c>
      <c r="I83" t="s">
        <v>73</v>
      </c>
      <c r="J83" t="s">
        <v>16</v>
      </c>
      <c r="K83" t="s">
        <v>68</v>
      </c>
      <c r="L83">
        <v>5</v>
      </c>
      <c r="M83" t="s">
        <v>17</v>
      </c>
      <c r="N83" t="s">
        <v>14</v>
      </c>
      <c r="O83">
        <v>2.1</v>
      </c>
      <c r="P83" t="s">
        <v>18</v>
      </c>
    </row>
    <row r="84" spans="1:16">
      <c r="A84" t="s">
        <v>171</v>
      </c>
      <c r="B84">
        <v>46118.417511574073</v>
      </c>
      <c r="C84">
        <v>46118.522908703701</v>
      </c>
      <c r="D84">
        <v>46119.254029131946</v>
      </c>
      <c r="E84" t="s">
        <v>75</v>
      </c>
      <c r="F84" t="s">
        <v>5</v>
      </c>
      <c r="G84" t="s">
        <v>105</v>
      </c>
      <c r="H84" t="s">
        <v>106</v>
      </c>
      <c r="I84" t="s">
        <v>89</v>
      </c>
      <c r="J84" t="s">
        <v>31</v>
      </c>
      <c r="K84" t="s">
        <v>68</v>
      </c>
      <c r="L84">
        <v>4</v>
      </c>
      <c r="M84" t="s">
        <v>32</v>
      </c>
      <c r="N84" t="s">
        <v>33</v>
      </c>
      <c r="O84">
        <v>7.1</v>
      </c>
      <c r="P84" t="s">
        <v>18</v>
      </c>
    </row>
    <row r="85" spans="1:16">
      <c r="A85" t="s">
        <v>172</v>
      </c>
      <c r="B85">
        <v>46177.62027777778</v>
      </c>
      <c r="C85">
        <v>46177.696822384256</v>
      </c>
      <c r="D85">
        <v>46178.187385393518</v>
      </c>
      <c r="E85" t="s">
        <v>70</v>
      </c>
      <c r="F85" t="s">
        <v>5</v>
      </c>
      <c r="G85" t="s">
        <v>94</v>
      </c>
      <c r="H85" t="s">
        <v>88</v>
      </c>
      <c r="I85" t="s">
        <v>89</v>
      </c>
      <c r="J85" t="s">
        <v>12</v>
      </c>
      <c r="K85" t="s">
        <v>68</v>
      </c>
      <c r="L85">
        <v>5</v>
      </c>
      <c r="M85" t="s">
        <v>13</v>
      </c>
      <c r="N85" t="s">
        <v>14</v>
      </c>
      <c r="O85">
        <v>4.2</v>
      </c>
      <c r="P85" t="s">
        <v>15</v>
      </c>
    </row>
    <row r="86" spans="1:16">
      <c r="A86" t="s">
        <v>173</v>
      </c>
      <c r="B86">
        <v>46187.719722222224</v>
      </c>
      <c r="C86">
        <v>46187.772851493057</v>
      </c>
      <c r="D86">
        <v>46188.017340543978</v>
      </c>
      <c r="E86" t="s">
        <v>75</v>
      </c>
      <c r="F86" t="s">
        <v>4</v>
      </c>
      <c r="G86" t="s">
        <v>71</v>
      </c>
      <c r="H86" t="s">
        <v>84</v>
      </c>
      <c r="I86" t="s">
        <v>73</v>
      </c>
      <c r="J86" t="s">
        <v>25</v>
      </c>
      <c r="K86" t="s">
        <v>68</v>
      </c>
      <c r="L86">
        <v>3</v>
      </c>
      <c r="M86" t="s">
        <v>26</v>
      </c>
      <c r="N86" t="s">
        <v>27</v>
      </c>
      <c r="O86">
        <v>6.3</v>
      </c>
      <c r="P86" t="s">
        <v>15</v>
      </c>
    </row>
    <row r="87" spans="1:16">
      <c r="A87" t="s">
        <v>174</v>
      </c>
      <c r="B87">
        <v>46128.30978009259</v>
      </c>
      <c r="C87">
        <v>46128.361589837965</v>
      </c>
      <c r="D87">
        <v>46128.569965451388</v>
      </c>
      <c r="E87" t="s">
        <v>70</v>
      </c>
      <c r="F87" t="s">
        <v>5</v>
      </c>
      <c r="G87" t="s">
        <v>65</v>
      </c>
      <c r="H87" t="s">
        <v>84</v>
      </c>
      <c r="I87" t="s">
        <v>73</v>
      </c>
      <c r="J87" t="s">
        <v>42</v>
      </c>
      <c r="K87" t="s">
        <v>68</v>
      </c>
      <c r="L87">
        <v>4</v>
      </c>
      <c r="M87" t="s">
        <v>43</v>
      </c>
      <c r="N87" t="s">
        <v>21</v>
      </c>
      <c r="O87">
        <v>2.7</v>
      </c>
      <c r="P87" t="s">
        <v>36</v>
      </c>
    </row>
    <row r="88" spans="1:16">
      <c r="A88" t="s">
        <v>175</v>
      </c>
      <c r="B88">
        <v>46165.180671296293</v>
      </c>
      <c r="C88">
        <v>46165.503676759261</v>
      </c>
      <c r="D88">
        <v>46170.464213310188</v>
      </c>
      <c r="E88" t="s">
        <v>75</v>
      </c>
      <c r="F88" t="s">
        <v>6</v>
      </c>
      <c r="G88" t="s">
        <v>79</v>
      </c>
      <c r="H88" t="s">
        <v>66</v>
      </c>
      <c r="I88" t="s">
        <v>89</v>
      </c>
      <c r="J88" t="s">
        <v>16</v>
      </c>
      <c r="K88" t="s">
        <v>68</v>
      </c>
      <c r="L88">
        <v>4</v>
      </c>
      <c r="M88" t="s">
        <v>17</v>
      </c>
      <c r="N88" t="s">
        <v>14</v>
      </c>
      <c r="O88">
        <v>2.1</v>
      </c>
      <c r="P88" t="s">
        <v>18</v>
      </c>
    </row>
    <row r="89" spans="1:16">
      <c r="A89" t="s">
        <v>176</v>
      </c>
      <c r="B89">
        <v>46198.093402777777</v>
      </c>
      <c r="C89">
        <v>46198.274450416669</v>
      </c>
      <c r="D89">
        <v>46198.37274460648</v>
      </c>
      <c r="E89" t="s">
        <v>75</v>
      </c>
      <c r="F89" t="s">
        <v>5</v>
      </c>
      <c r="G89" t="s">
        <v>79</v>
      </c>
      <c r="H89" t="s">
        <v>80</v>
      </c>
      <c r="I89" t="s">
        <v>73</v>
      </c>
      <c r="J89" t="s">
        <v>16</v>
      </c>
      <c r="K89" t="s">
        <v>68</v>
      </c>
      <c r="L89">
        <v>5</v>
      </c>
      <c r="M89" t="s">
        <v>17</v>
      </c>
      <c r="N89" t="s">
        <v>14</v>
      </c>
      <c r="O89">
        <v>2.1</v>
      </c>
      <c r="P89" t="s">
        <v>18</v>
      </c>
    </row>
    <row r="90" spans="1:16">
      <c r="A90" t="s">
        <v>177</v>
      </c>
      <c r="B90">
        <v>46115.922743055555</v>
      </c>
      <c r="C90">
        <v>46116.01340585648</v>
      </c>
      <c r="D90">
        <v>46117.164099004629</v>
      </c>
      <c r="E90" t="s">
        <v>75</v>
      </c>
      <c r="F90" t="s">
        <v>5</v>
      </c>
      <c r="G90" t="s">
        <v>94</v>
      </c>
      <c r="H90" t="s">
        <v>66</v>
      </c>
      <c r="I90" t="s">
        <v>92</v>
      </c>
      <c r="J90" t="s">
        <v>16</v>
      </c>
      <c r="K90" t="s">
        <v>68</v>
      </c>
      <c r="L90">
        <v>4</v>
      </c>
      <c r="M90" t="s">
        <v>17</v>
      </c>
      <c r="N90" t="s">
        <v>14</v>
      </c>
      <c r="O90">
        <v>2.1</v>
      </c>
      <c r="P90" t="s">
        <v>18</v>
      </c>
    </row>
    <row r="91" spans="1:16">
      <c r="A91" t="s">
        <v>178</v>
      </c>
      <c r="B91">
        <v>46181.834097222221</v>
      </c>
      <c r="C91">
        <v>46181.989174282404</v>
      </c>
      <c r="D91">
        <v>46183.001873078705</v>
      </c>
      <c r="E91" t="s">
        <v>75</v>
      </c>
      <c r="F91" t="s">
        <v>5</v>
      </c>
      <c r="G91" t="s">
        <v>71</v>
      </c>
      <c r="H91" t="s">
        <v>109</v>
      </c>
      <c r="I91" t="s">
        <v>73</v>
      </c>
      <c r="J91" t="s">
        <v>25</v>
      </c>
      <c r="K91" t="s">
        <v>68</v>
      </c>
      <c r="L91">
        <v>3</v>
      </c>
      <c r="M91" t="s">
        <v>26</v>
      </c>
      <c r="N91" t="s">
        <v>27</v>
      </c>
      <c r="O91">
        <v>6.3</v>
      </c>
      <c r="P91" t="s">
        <v>15</v>
      </c>
    </row>
    <row r="92" spans="1:16">
      <c r="A92" t="s">
        <v>179</v>
      </c>
      <c r="B92">
        <v>46173.802233796298</v>
      </c>
      <c r="C92">
        <v>46173.824402916667</v>
      </c>
      <c r="D92">
        <v>46173.897168726849</v>
      </c>
      <c r="E92" t="s">
        <v>75</v>
      </c>
      <c r="F92" t="s">
        <v>4</v>
      </c>
      <c r="G92" t="s">
        <v>94</v>
      </c>
      <c r="H92" t="s">
        <v>109</v>
      </c>
      <c r="I92" t="s">
        <v>89</v>
      </c>
      <c r="J92" t="s">
        <v>16</v>
      </c>
      <c r="K92" t="s">
        <v>68</v>
      </c>
      <c r="L92">
        <v>4</v>
      </c>
      <c r="M92" t="s">
        <v>17</v>
      </c>
      <c r="N92" t="s">
        <v>14</v>
      </c>
      <c r="O92">
        <v>2.1</v>
      </c>
      <c r="P92" t="s">
        <v>18</v>
      </c>
    </row>
    <row r="93" spans="1:16">
      <c r="A93" t="s">
        <v>180</v>
      </c>
      <c r="B93">
        <v>46162.618587962963</v>
      </c>
      <c r="C93">
        <v>46162.684079826387</v>
      </c>
      <c r="D93">
        <v>46163.265348634261</v>
      </c>
      <c r="E93" t="s">
        <v>70</v>
      </c>
      <c r="F93" t="s">
        <v>4</v>
      </c>
      <c r="G93" t="s">
        <v>71</v>
      </c>
      <c r="H93" t="s">
        <v>109</v>
      </c>
      <c r="I93" t="s">
        <v>92</v>
      </c>
      <c r="J93" t="s">
        <v>28</v>
      </c>
      <c r="K93" t="s">
        <v>68</v>
      </c>
      <c r="L93">
        <v>3</v>
      </c>
      <c r="M93" t="s">
        <v>29</v>
      </c>
      <c r="N93" t="s">
        <v>27</v>
      </c>
      <c r="O93">
        <v>1.8</v>
      </c>
      <c r="P93" t="s">
        <v>30</v>
      </c>
    </row>
    <row r="94" spans="1:16">
      <c r="A94" t="s">
        <v>181</v>
      </c>
      <c r="B94">
        <v>46117.63789351852</v>
      </c>
      <c r="C94">
        <v>46117.807852754631</v>
      </c>
      <c r="D94">
        <v>46118.747503368053</v>
      </c>
      <c r="E94" t="s">
        <v>75</v>
      </c>
      <c r="F94" t="s">
        <v>5</v>
      </c>
      <c r="G94" t="s">
        <v>94</v>
      </c>
      <c r="H94" t="s">
        <v>84</v>
      </c>
      <c r="I94" t="s">
        <v>73</v>
      </c>
      <c r="J94" t="s">
        <v>37</v>
      </c>
      <c r="K94" t="s">
        <v>68</v>
      </c>
      <c r="L94">
        <v>5</v>
      </c>
      <c r="M94" t="s">
        <v>38</v>
      </c>
      <c r="N94" t="s">
        <v>14</v>
      </c>
      <c r="O94">
        <v>1.2</v>
      </c>
      <c r="P94" t="s">
        <v>39</v>
      </c>
    </row>
    <row r="95" spans="1:16">
      <c r="A95" t="s">
        <v>182</v>
      </c>
      <c r="B95">
        <v>46163.372106481482</v>
      </c>
      <c r="C95">
        <v>46163.519154317131</v>
      </c>
      <c r="D95">
        <v>46164.42335597222</v>
      </c>
      <c r="E95" t="s">
        <v>70</v>
      </c>
      <c r="F95" t="s">
        <v>6</v>
      </c>
      <c r="G95" t="s">
        <v>94</v>
      </c>
      <c r="H95" t="s">
        <v>88</v>
      </c>
      <c r="I95" t="s">
        <v>67</v>
      </c>
      <c r="J95" t="s">
        <v>16</v>
      </c>
      <c r="K95" t="s">
        <v>68</v>
      </c>
      <c r="L95">
        <v>5</v>
      </c>
      <c r="M95" t="s">
        <v>17</v>
      </c>
      <c r="N95" t="s">
        <v>14</v>
      </c>
      <c r="O95">
        <v>2.1</v>
      </c>
      <c r="P95" t="s">
        <v>18</v>
      </c>
    </row>
    <row r="96" spans="1:16">
      <c r="A96" t="s">
        <v>183</v>
      </c>
      <c r="B96">
        <v>46200.194016203706</v>
      </c>
      <c r="C96">
        <v>46200.270998576387</v>
      </c>
      <c r="E96" t="s">
        <v>64</v>
      </c>
      <c r="F96" t="s">
        <v>4</v>
      </c>
      <c r="G96" t="s">
        <v>83</v>
      </c>
      <c r="H96" t="s">
        <v>77</v>
      </c>
      <c r="I96" t="s">
        <v>89</v>
      </c>
      <c r="J96" t="s">
        <v>31</v>
      </c>
      <c r="K96" t="s">
        <v>68</v>
      </c>
      <c r="M96" t="s">
        <v>32</v>
      </c>
      <c r="N96" t="s">
        <v>33</v>
      </c>
      <c r="O96">
        <v>7.1</v>
      </c>
      <c r="P96" t="s">
        <v>18</v>
      </c>
    </row>
    <row r="97" spans="1:16">
      <c r="A97" t="s">
        <v>184</v>
      </c>
      <c r="B97">
        <v>46166.293634259258</v>
      </c>
      <c r="C97">
        <v>46166.34224056713</v>
      </c>
      <c r="D97">
        <v>46166.573517523146</v>
      </c>
      <c r="E97" t="s">
        <v>70</v>
      </c>
      <c r="F97" t="s">
        <v>4</v>
      </c>
      <c r="G97" t="s">
        <v>79</v>
      </c>
      <c r="H97" t="s">
        <v>88</v>
      </c>
      <c r="I97" t="s">
        <v>73</v>
      </c>
      <c r="J97" t="s">
        <v>16</v>
      </c>
      <c r="K97" t="s">
        <v>68</v>
      </c>
      <c r="L97">
        <v>3</v>
      </c>
      <c r="M97" t="s">
        <v>17</v>
      </c>
      <c r="N97" t="s">
        <v>14</v>
      </c>
      <c r="O97">
        <v>2.1</v>
      </c>
      <c r="P97" t="s">
        <v>18</v>
      </c>
    </row>
    <row r="98" spans="1:16">
      <c r="A98" t="s">
        <v>185</v>
      </c>
      <c r="B98">
        <v>46190.178206018521</v>
      </c>
      <c r="C98">
        <v>46190.197502870367</v>
      </c>
      <c r="D98">
        <v>46190.381904444446</v>
      </c>
      <c r="E98" t="s">
        <v>75</v>
      </c>
      <c r="F98" t="s">
        <v>3</v>
      </c>
      <c r="G98" t="s">
        <v>83</v>
      </c>
      <c r="H98" t="s">
        <v>72</v>
      </c>
      <c r="I98" t="s">
        <v>89</v>
      </c>
      <c r="J98" t="s">
        <v>44</v>
      </c>
      <c r="K98" t="s">
        <v>68</v>
      </c>
      <c r="L98">
        <v>4</v>
      </c>
      <c r="M98" t="s">
        <v>45</v>
      </c>
      <c r="N98" t="s">
        <v>33</v>
      </c>
      <c r="O98">
        <v>5.0999999999999996</v>
      </c>
      <c r="P98" t="s">
        <v>30</v>
      </c>
    </row>
    <row r="99" spans="1:16">
      <c r="A99" t="s">
        <v>186</v>
      </c>
      <c r="B99">
        <v>46148.494664351849</v>
      </c>
      <c r="C99">
        <v>46148.585366018517</v>
      </c>
      <c r="D99">
        <v>46149.066092638888</v>
      </c>
      <c r="E99" t="s">
        <v>70</v>
      </c>
      <c r="F99" t="s">
        <v>5</v>
      </c>
      <c r="G99" t="s">
        <v>94</v>
      </c>
      <c r="H99" t="s">
        <v>84</v>
      </c>
      <c r="I99" t="s">
        <v>73</v>
      </c>
      <c r="J99" t="s">
        <v>37</v>
      </c>
      <c r="K99" t="s">
        <v>85</v>
      </c>
      <c r="L99">
        <v>4</v>
      </c>
      <c r="M99" t="s">
        <v>38</v>
      </c>
      <c r="N99" t="s">
        <v>14</v>
      </c>
      <c r="O99">
        <v>1.2</v>
      </c>
      <c r="P99" t="s">
        <v>39</v>
      </c>
    </row>
    <row r="100" spans="1:16">
      <c r="A100" t="s">
        <v>187</v>
      </c>
      <c r="B100">
        <v>46202.029502314814</v>
      </c>
      <c r="C100">
        <v>46202.082836041664</v>
      </c>
      <c r="D100">
        <v>46202.805221643517</v>
      </c>
      <c r="E100" t="s">
        <v>75</v>
      </c>
      <c r="F100" t="s">
        <v>4</v>
      </c>
      <c r="G100" t="s">
        <v>71</v>
      </c>
      <c r="H100" t="s">
        <v>77</v>
      </c>
      <c r="I100" t="s">
        <v>92</v>
      </c>
      <c r="J100" t="s">
        <v>28</v>
      </c>
      <c r="K100" t="s">
        <v>85</v>
      </c>
      <c r="L100">
        <v>4</v>
      </c>
      <c r="M100" t="s">
        <v>29</v>
      </c>
      <c r="N100" t="s">
        <v>27</v>
      </c>
      <c r="O100">
        <v>1.8</v>
      </c>
      <c r="P100" t="s">
        <v>30</v>
      </c>
    </row>
    <row r="101" spans="1:16">
      <c r="A101" t="s">
        <v>188</v>
      </c>
      <c r="B101">
        <v>46179.542094907411</v>
      </c>
      <c r="C101">
        <v>46179.974552615742</v>
      </c>
      <c r="D101">
        <v>46185.268399837965</v>
      </c>
      <c r="E101" t="s">
        <v>75</v>
      </c>
      <c r="F101" t="s">
        <v>6</v>
      </c>
      <c r="G101" t="s">
        <v>83</v>
      </c>
      <c r="H101" t="s">
        <v>106</v>
      </c>
      <c r="I101" t="s">
        <v>73</v>
      </c>
      <c r="J101" t="s">
        <v>44</v>
      </c>
      <c r="K101" t="s">
        <v>68</v>
      </c>
      <c r="L101">
        <v>3</v>
      </c>
      <c r="M101" t="s">
        <v>45</v>
      </c>
      <c r="N101" t="s">
        <v>33</v>
      </c>
      <c r="O101">
        <v>5.0999999999999996</v>
      </c>
      <c r="P101" t="s">
        <v>30</v>
      </c>
    </row>
    <row r="102" spans="1:16">
      <c r="A102" t="s">
        <v>189</v>
      </c>
      <c r="B102">
        <v>46132.846585648149</v>
      </c>
      <c r="C102">
        <v>46132.869425543984</v>
      </c>
      <c r="D102">
        <v>46133.199175138892</v>
      </c>
      <c r="E102" t="s">
        <v>75</v>
      </c>
      <c r="F102" t="s">
        <v>4</v>
      </c>
      <c r="G102" t="s">
        <v>105</v>
      </c>
      <c r="H102" t="s">
        <v>109</v>
      </c>
      <c r="I102" t="s">
        <v>89</v>
      </c>
      <c r="J102" t="s">
        <v>34</v>
      </c>
      <c r="K102" t="s">
        <v>68</v>
      </c>
      <c r="L102">
        <v>4</v>
      </c>
      <c r="M102" t="s">
        <v>35</v>
      </c>
      <c r="N102" t="s">
        <v>33</v>
      </c>
      <c r="O102">
        <v>3</v>
      </c>
      <c r="P102" t="s">
        <v>36</v>
      </c>
    </row>
    <row r="103" spans="1:16">
      <c r="A103" t="s">
        <v>190</v>
      </c>
      <c r="B103">
        <v>46183.128645833334</v>
      </c>
      <c r="C103">
        <v>46183.322006076392</v>
      </c>
      <c r="D103">
        <v>46184.394240277776</v>
      </c>
      <c r="E103" t="s">
        <v>70</v>
      </c>
      <c r="F103" t="s">
        <v>5</v>
      </c>
      <c r="G103" t="s">
        <v>71</v>
      </c>
      <c r="H103" t="s">
        <v>80</v>
      </c>
      <c r="I103" t="s">
        <v>92</v>
      </c>
      <c r="J103" t="s">
        <v>28</v>
      </c>
      <c r="K103" t="s">
        <v>68</v>
      </c>
      <c r="L103">
        <v>4</v>
      </c>
      <c r="M103" t="s">
        <v>29</v>
      </c>
      <c r="N103" t="s">
        <v>27</v>
      </c>
      <c r="O103">
        <v>1.8</v>
      </c>
      <c r="P103" t="s">
        <v>30</v>
      </c>
    </row>
    <row r="104" spans="1:16">
      <c r="A104" t="s">
        <v>191</v>
      </c>
      <c r="B104">
        <v>46155.336400462962</v>
      </c>
      <c r="C104">
        <v>46155.483888391202</v>
      </c>
      <c r="D104">
        <v>46156.074357268517</v>
      </c>
      <c r="E104" t="s">
        <v>75</v>
      </c>
      <c r="F104" t="s">
        <v>6</v>
      </c>
      <c r="G104" t="s">
        <v>71</v>
      </c>
      <c r="H104" t="s">
        <v>84</v>
      </c>
      <c r="I104" t="s">
        <v>73</v>
      </c>
      <c r="J104" t="s">
        <v>25</v>
      </c>
      <c r="K104" t="s">
        <v>68</v>
      </c>
      <c r="L104">
        <v>5</v>
      </c>
      <c r="M104" t="s">
        <v>26</v>
      </c>
      <c r="N104" t="s">
        <v>27</v>
      </c>
      <c r="O104">
        <v>6.3</v>
      </c>
      <c r="P104" t="s">
        <v>15</v>
      </c>
    </row>
    <row r="105" spans="1:16">
      <c r="A105" t="s">
        <v>192</v>
      </c>
      <c r="B105">
        <v>46165.128912037035</v>
      </c>
      <c r="C105">
        <v>46165.158946828706</v>
      </c>
      <c r="D105">
        <v>46165.441311030096</v>
      </c>
      <c r="E105" t="s">
        <v>75</v>
      </c>
      <c r="F105" t="s">
        <v>4</v>
      </c>
      <c r="G105" t="s">
        <v>65</v>
      </c>
      <c r="H105" t="s">
        <v>84</v>
      </c>
      <c r="I105" t="s">
        <v>89</v>
      </c>
      <c r="J105" t="s">
        <v>42</v>
      </c>
      <c r="K105" t="s">
        <v>85</v>
      </c>
      <c r="L105">
        <v>3</v>
      </c>
      <c r="M105" t="s">
        <v>43</v>
      </c>
      <c r="N105" t="s">
        <v>21</v>
      </c>
      <c r="O105">
        <v>2.7</v>
      </c>
      <c r="P105" t="s">
        <v>36</v>
      </c>
    </row>
    <row r="106" spans="1:16">
      <c r="A106" t="s">
        <v>193</v>
      </c>
      <c r="B106">
        <v>46176.551782407405</v>
      </c>
      <c r="C106">
        <v>46176.714359189813</v>
      </c>
      <c r="D106">
        <v>46177.266320752315</v>
      </c>
      <c r="E106" t="s">
        <v>75</v>
      </c>
      <c r="F106" t="s">
        <v>5</v>
      </c>
      <c r="G106" t="s">
        <v>79</v>
      </c>
      <c r="H106" t="s">
        <v>109</v>
      </c>
      <c r="I106" t="s">
        <v>92</v>
      </c>
      <c r="J106" t="s">
        <v>37</v>
      </c>
      <c r="K106" t="s">
        <v>68</v>
      </c>
      <c r="L106">
        <v>4</v>
      </c>
      <c r="M106" t="s">
        <v>38</v>
      </c>
      <c r="N106" t="s">
        <v>14</v>
      </c>
      <c r="O106">
        <v>1.2</v>
      </c>
      <c r="P106" t="s">
        <v>39</v>
      </c>
    </row>
    <row r="107" spans="1:16">
      <c r="A107" t="s">
        <v>194</v>
      </c>
      <c r="B107">
        <v>46180.191076388888</v>
      </c>
      <c r="C107">
        <v>46180.206416631947</v>
      </c>
      <c r="D107">
        <v>46180.438414166667</v>
      </c>
      <c r="E107" t="s">
        <v>75</v>
      </c>
      <c r="F107" t="s">
        <v>4</v>
      </c>
      <c r="G107" t="s">
        <v>65</v>
      </c>
      <c r="H107" t="s">
        <v>77</v>
      </c>
      <c r="I107" t="s">
        <v>73</v>
      </c>
      <c r="J107" t="s">
        <v>23</v>
      </c>
      <c r="K107" t="s">
        <v>68</v>
      </c>
      <c r="L107">
        <v>4</v>
      </c>
      <c r="M107" t="s">
        <v>24</v>
      </c>
      <c r="N107" t="s">
        <v>21</v>
      </c>
      <c r="O107">
        <v>3.4</v>
      </c>
      <c r="P107" t="s">
        <v>22</v>
      </c>
    </row>
    <row r="108" spans="1:16">
      <c r="A108" t="s">
        <v>195</v>
      </c>
      <c r="B108">
        <v>46118.246608796297</v>
      </c>
      <c r="C108">
        <v>46118.374098900465</v>
      </c>
      <c r="D108">
        <v>46120.446233784722</v>
      </c>
      <c r="E108" t="s">
        <v>75</v>
      </c>
      <c r="F108" t="s">
        <v>5</v>
      </c>
      <c r="G108" t="s">
        <v>79</v>
      </c>
      <c r="H108" t="s">
        <v>72</v>
      </c>
      <c r="I108" t="s">
        <v>92</v>
      </c>
      <c r="J108" t="s">
        <v>37</v>
      </c>
      <c r="K108" t="s">
        <v>68</v>
      </c>
      <c r="L108">
        <v>4</v>
      </c>
      <c r="M108" t="s">
        <v>38</v>
      </c>
      <c r="N108" t="s">
        <v>14</v>
      </c>
      <c r="O108">
        <v>1.2</v>
      </c>
      <c r="P108" t="s">
        <v>39</v>
      </c>
    </row>
    <row r="109" spans="1:16">
      <c r="A109" t="s">
        <v>196</v>
      </c>
      <c r="B109">
        <v>46136.705763888887</v>
      </c>
      <c r="C109">
        <v>46136.989939907406</v>
      </c>
      <c r="D109">
        <v>46137.23407042824</v>
      </c>
      <c r="E109" t="s">
        <v>75</v>
      </c>
      <c r="F109" t="s">
        <v>5</v>
      </c>
      <c r="G109" t="s">
        <v>79</v>
      </c>
      <c r="H109" t="s">
        <v>88</v>
      </c>
      <c r="I109" t="s">
        <v>89</v>
      </c>
      <c r="J109" t="s">
        <v>12</v>
      </c>
      <c r="K109" t="s">
        <v>85</v>
      </c>
      <c r="L109">
        <v>3</v>
      </c>
      <c r="M109" t="s">
        <v>13</v>
      </c>
      <c r="N109" t="s">
        <v>14</v>
      </c>
      <c r="O109">
        <v>4.2</v>
      </c>
      <c r="P109" t="s">
        <v>15</v>
      </c>
    </row>
    <row r="110" spans="1:16">
      <c r="A110" t="s">
        <v>197</v>
      </c>
      <c r="B110">
        <v>46141.353773148148</v>
      </c>
      <c r="C110">
        <v>46141.364933726851</v>
      </c>
      <c r="D110">
        <v>46141.482215821758</v>
      </c>
      <c r="E110" t="s">
        <v>75</v>
      </c>
      <c r="F110" t="s">
        <v>4</v>
      </c>
      <c r="G110" t="s">
        <v>65</v>
      </c>
      <c r="H110" t="s">
        <v>88</v>
      </c>
      <c r="I110" t="s">
        <v>73</v>
      </c>
      <c r="J110" t="s">
        <v>42</v>
      </c>
      <c r="K110" t="s">
        <v>85</v>
      </c>
      <c r="L110">
        <v>4</v>
      </c>
      <c r="M110" t="s">
        <v>43</v>
      </c>
      <c r="N110" t="s">
        <v>21</v>
      </c>
      <c r="O110">
        <v>2.7</v>
      </c>
      <c r="P110" t="s">
        <v>36</v>
      </c>
    </row>
    <row r="111" spans="1:16">
      <c r="A111" t="s">
        <v>198</v>
      </c>
      <c r="B111">
        <v>46117.111504629633</v>
      </c>
      <c r="C111">
        <v>46117.118405324072</v>
      </c>
      <c r="D111">
        <v>46117.188411388888</v>
      </c>
      <c r="E111" t="s">
        <v>70</v>
      </c>
      <c r="F111" t="s">
        <v>3</v>
      </c>
      <c r="G111" t="s">
        <v>65</v>
      </c>
      <c r="H111" t="s">
        <v>77</v>
      </c>
      <c r="I111" t="s">
        <v>89</v>
      </c>
      <c r="J111" t="s">
        <v>23</v>
      </c>
      <c r="K111" t="s">
        <v>68</v>
      </c>
      <c r="L111">
        <v>4</v>
      </c>
      <c r="M111" t="s">
        <v>24</v>
      </c>
      <c r="N111" t="s">
        <v>21</v>
      </c>
      <c r="O111">
        <v>3.4</v>
      </c>
      <c r="P111" t="s">
        <v>22</v>
      </c>
    </row>
    <row r="112" spans="1:16">
      <c r="A112" t="s">
        <v>199</v>
      </c>
      <c r="B112">
        <v>46165.01840277778</v>
      </c>
      <c r="C112">
        <v>46165.108463229168</v>
      </c>
      <c r="D112">
        <v>46167.535947083335</v>
      </c>
      <c r="E112" t="s">
        <v>75</v>
      </c>
      <c r="F112" t="s">
        <v>5</v>
      </c>
      <c r="G112" t="s">
        <v>71</v>
      </c>
      <c r="H112" t="s">
        <v>109</v>
      </c>
      <c r="I112" t="s">
        <v>73</v>
      </c>
      <c r="J112" t="s">
        <v>28</v>
      </c>
      <c r="K112" t="s">
        <v>68</v>
      </c>
      <c r="L112">
        <v>5</v>
      </c>
      <c r="M112" t="s">
        <v>29</v>
      </c>
      <c r="N112" t="s">
        <v>27</v>
      </c>
      <c r="O112">
        <v>1.8</v>
      </c>
      <c r="P112" t="s">
        <v>30</v>
      </c>
    </row>
    <row r="113" spans="1:16">
      <c r="A113" t="s">
        <v>200</v>
      </c>
      <c r="B113">
        <v>46188.691180555557</v>
      </c>
      <c r="C113">
        <v>46188.771099351849</v>
      </c>
      <c r="D113">
        <v>46188.839665844906</v>
      </c>
      <c r="E113" t="s">
        <v>75</v>
      </c>
      <c r="F113" t="s">
        <v>4</v>
      </c>
      <c r="G113" t="s">
        <v>76</v>
      </c>
      <c r="H113" t="s">
        <v>77</v>
      </c>
      <c r="I113" t="s">
        <v>89</v>
      </c>
      <c r="J113" t="s">
        <v>25</v>
      </c>
      <c r="K113" t="s">
        <v>68</v>
      </c>
      <c r="L113">
        <v>4</v>
      </c>
      <c r="M113" t="s">
        <v>26</v>
      </c>
      <c r="N113" t="s">
        <v>27</v>
      </c>
      <c r="O113">
        <v>6.3</v>
      </c>
      <c r="P113" t="s">
        <v>15</v>
      </c>
    </row>
    <row r="114" spans="1:16">
      <c r="A114" t="s">
        <v>201</v>
      </c>
      <c r="B114">
        <v>46153.992858796293</v>
      </c>
      <c r="C114">
        <v>46154.101924340277</v>
      </c>
      <c r="D114">
        <v>46154.45678940972</v>
      </c>
      <c r="E114" t="s">
        <v>75</v>
      </c>
      <c r="F114" t="s">
        <v>5</v>
      </c>
      <c r="G114" t="s">
        <v>65</v>
      </c>
      <c r="H114" t="s">
        <v>77</v>
      </c>
      <c r="I114" t="s">
        <v>67</v>
      </c>
      <c r="J114" t="s">
        <v>23</v>
      </c>
      <c r="K114" t="s">
        <v>68</v>
      </c>
      <c r="L114">
        <v>5</v>
      </c>
      <c r="M114" t="s">
        <v>24</v>
      </c>
      <c r="N114" t="s">
        <v>21</v>
      </c>
      <c r="O114">
        <v>3.4</v>
      </c>
      <c r="P114" t="s">
        <v>22</v>
      </c>
    </row>
    <row r="115" spans="1:16">
      <c r="A115" t="s">
        <v>202</v>
      </c>
      <c r="B115">
        <v>46166.371192129627</v>
      </c>
      <c r="C115">
        <v>46166.439657546296</v>
      </c>
      <c r="D115">
        <v>46166.895806064815</v>
      </c>
      <c r="E115" t="s">
        <v>75</v>
      </c>
      <c r="F115" t="s">
        <v>5</v>
      </c>
      <c r="G115" t="s">
        <v>94</v>
      </c>
      <c r="H115" t="s">
        <v>88</v>
      </c>
      <c r="I115" t="s">
        <v>73</v>
      </c>
      <c r="J115" t="s">
        <v>37</v>
      </c>
      <c r="K115" t="s">
        <v>68</v>
      </c>
      <c r="L115">
        <v>4</v>
      </c>
      <c r="M115" t="s">
        <v>38</v>
      </c>
      <c r="N115" t="s">
        <v>14</v>
      </c>
      <c r="O115">
        <v>1.2</v>
      </c>
      <c r="P115" t="s">
        <v>39</v>
      </c>
    </row>
    <row r="116" spans="1:16">
      <c r="A116" t="s">
        <v>203</v>
      </c>
      <c r="B116">
        <v>46190.559525462966</v>
      </c>
      <c r="C116">
        <v>46190.585851678239</v>
      </c>
      <c r="D116">
        <v>46190.918528078706</v>
      </c>
      <c r="E116" t="s">
        <v>75</v>
      </c>
      <c r="F116" t="s">
        <v>4</v>
      </c>
      <c r="G116" t="s">
        <v>105</v>
      </c>
      <c r="H116" t="s">
        <v>72</v>
      </c>
      <c r="I116" t="s">
        <v>67</v>
      </c>
      <c r="J116" t="s">
        <v>44</v>
      </c>
      <c r="K116" t="s">
        <v>68</v>
      </c>
      <c r="L116">
        <v>5</v>
      </c>
      <c r="M116" t="s">
        <v>45</v>
      </c>
      <c r="N116" t="s">
        <v>33</v>
      </c>
      <c r="O116">
        <v>5.0999999999999996</v>
      </c>
      <c r="P116" t="s">
        <v>30</v>
      </c>
    </row>
    <row r="117" spans="1:16">
      <c r="A117" t="s">
        <v>204</v>
      </c>
      <c r="B117">
        <v>46132.952187499999</v>
      </c>
      <c r="C117">
        <v>46133.092323067132</v>
      </c>
      <c r="D117">
        <v>46133.433750127311</v>
      </c>
      <c r="E117" t="s">
        <v>75</v>
      </c>
      <c r="F117" t="s">
        <v>5</v>
      </c>
      <c r="G117" t="s">
        <v>98</v>
      </c>
      <c r="H117" t="s">
        <v>88</v>
      </c>
      <c r="I117" t="s">
        <v>73</v>
      </c>
      <c r="J117" t="s">
        <v>37</v>
      </c>
      <c r="K117" t="s">
        <v>68</v>
      </c>
      <c r="L117">
        <v>4</v>
      </c>
      <c r="M117" t="s">
        <v>38</v>
      </c>
      <c r="N117" t="s">
        <v>14</v>
      </c>
      <c r="O117">
        <v>1.2</v>
      </c>
      <c r="P117" t="s">
        <v>39</v>
      </c>
    </row>
    <row r="118" spans="1:16">
      <c r="A118" t="s">
        <v>205</v>
      </c>
      <c r="B118">
        <v>46166.767256944448</v>
      </c>
      <c r="C118">
        <v>46166.787557071759</v>
      </c>
      <c r="D118">
        <v>46166.88905380787</v>
      </c>
      <c r="E118" t="s">
        <v>75</v>
      </c>
      <c r="F118" t="s">
        <v>3</v>
      </c>
      <c r="G118" t="s">
        <v>83</v>
      </c>
      <c r="H118" t="s">
        <v>77</v>
      </c>
      <c r="I118" t="s">
        <v>89</v>
      </c>
      <c r="J118" t="s">
        <v>44</v>
      </c>
      <c r="K118" t="s">
        <v>68</v>
      </c>
      <c r="L118">
        <v>4</v>
      </c>
      <c r="M118" t="s">
        <v>45</v>
      </c>
      <c r="N118" t="s">
        <v>33</v>
      </c>
      <c r="O118">
        <v>5.0999999999999996</v>
      </c>
      <c r="P118" t="s">
        <v>30</v>
      </c>
    </row>
    <row r="119" spans="1:16">
      <c r="A119" t="s">
        <v>206</v>
      </c>
      <c r="B119">
        <v>46185.052673611113</v>
      </c>
      <c r="C119">
        <v>46185.346122951392</v>
      </c>
      <c r="D119">
        <v>46186.081782743058</v>
      </c>
      <c r="E119" t="s">
        <v>75</v>
      </c>
      <c r="F119" t="s">
        <v>6</v>
      </c>
      <c r="G119" t="s">
        <v>105</v>
      </c>
      <c r="H119" t="s">
        <v>72</v>
      </c>
      <c r="I119" t="s">
        <v>92</v>
      </c>
      <c r="J119" t="s">
        <v>31</v>
      </c>
      <c r="K119" t="s">
        <v>68</v>
      </c>
      <c r="L119">
        <v>4</v>
      </c>
      <c r="M119" t="s">
        <v>32</v>
      </c>
      <c r="N119" t="s">
        <v>33</v>
      </c>
      <c r="O119">
        <v>7.1</v>
      </c>
      <c r="P119" t="s">
        <v>18</v>
      </c>
    </row>
    <row r="120" spans="1:16">
      <c r="A120" t="s">
        <v>207</v>
      </c>
      <c r="B120">
        <v>46175.598587962966</v>
      </c>
      <c r="C120">
        <v>46175.675456701392</v>
      </c>
      <c r="D120">
        <v>46176.265955752315</v>
      </c>
      <c r="E120" t="s">
        <v>70</v>
      </c>
      <c r="F120" t="s">
        <v>5</v>
      </c>
      <c r="G120" t="s">
        <v>71</v>
      </c>
      <c r="H120" t="s">
        <v>77</v>
      </c>
      <c r="I120" t="s">
        <v>73</v>
      </c>
      <c r="J120" t="s">
        <v>25</v>
      </c>
      <c r="K120" t="s">
        <v>68</v>
      </c>
      <c r="L120">
        <v>5</v>
      </c>
      <c r="M120" t="s">
        <v>26</v>
      </c>
      <c r="N120" t="s">
        <v>27</v>
      </c>
      <c r="O120">
        <v>6.3</v>
      </c>
      <c r="P120" t="s">
        <v>15</v>
      </c>
    </row>
    <row r="121" spans="1:16">
      <c r="A121" t="s">
        <v>208</v>
      </c>
      <c r="B121">
        <v>46168.459421296298</v>
      </c>
      <c r="C121">
        <v>46168.484218981481</v>
      </c>
      <c r="D121">
        <v>46168.670634745373</v>
      </c>
      <c r="E121" t="s">
        <v>75</v>
      </c>
      <c r="F121" t="s">
        <v>4</v>
      </c>
      <c r="G121" t="s">
        <v>105</v>
      </c>
      <c r="H121" t="s">
        <v>72</v>
      </c>
      <c r="I121" t="s">
        <v>89</v>
      </c>
      <c r="J121" t="s">
        <v>44</v>
      </c>
      <c r="K121" t="s">
        <v>68</v>
      </c>
      <c r="L121">
        <v>5</v>
      </c>
      <c r="M121" t="s">
        <v>45</v>
      </c>
      <c r="N121" t="s">
        <v>33</v>
      </c>
      <c r="O121">
        <v>5.0999999999999996</v>
      </c>
      <c r="P121" t="s">
        <v>30</v>
      </c>
    </row>
    <row r="122" spans="1:16">
      <c r="A122" t="s">
        <v>209</v>
      </c>
      <c r="B122">
        <v>46183.518263888887</v>
      </c>
      <c r="C122">
        <v>46183.558792974538</v>
      </c>
      <c r="D122">
        <v>46184.059749629632</v>
      </c>
      <c r="E122" t="s">
        <v>75</v>
      </c>
      <c r="F122" t="s">
        <v>4</v>
      </c>
      <c r="G122" t="s">
        <v>76</v>
      </c>
      <c r="H122" t="s">
        <v>66</v>
      </c>
      <c r="I122" t="s">
        <v>89</v>
      </c>
      <c r="J122" t="s">
        <v>28</v>
      </c>
      <c r="K122" t="s">
        <v>68</v>
      </c>
      <c r="L122">
        <v>4</v>
      </c>
      <c r="M122" t="s">
        <v>29</v>
      </c>
      <c r="N122" t="s">
        <v>27</v>
      </c>
      <c r="O122">
        <v>1.8</v>
      </c>
      <c r="P122" t="s">
        <v>30</v>
      </c>
    </row>
    <row r="123" spans="1:16">
      <c r="A123" t="s">
        <v>210</v>
      </c>
      <c r="B123">
        <v>46126.301574074074</v>
      </c>
      <c r="C123">
        <v>46126.546970671297</v>
      </c>
      <c r="D123">
        <v>46127.496776516207</v>
      </c>
      <c r="E123" t="s">
        <v>75</v>
      </c>
      <c r="F123" t="s">
        <v>5</v>
      </c>
      <c r="G123" t="s">
        <v>71</v>
      </c>
      <c r="H123" t="s">
        <v>106</v>
      </c>
      <c r="I123" t="s">
        <v>89</v>
      </c>
      <c r="J123" t="s">
        <v>40</v>
      </c>
      <c r="K123" t="s">
        <v>68</v>
      </c>
      <c r="L123">
        <v>4</v>
      </c>
      <c r="M123" t="s">
        <v>41</v>
      </c>
      <c r="N123" t="s">
        <v>27</v>
      </c>
      <c r="O123">
        <v>4.8</v>
      </c>
      <c r="P123" t="s">
        <v>39</v>
      </c>
    </row>
    <row r="124" spans="1:16">
      <c r="A124" t="s">
        <v>211</v>
      </c>
      <c r="B124">
        <v>46193.799305555556</v>
      </c>
      <c r="C124">
        <v>46193.926697326388</v>
      </c>
      <c r="E124" t="s">
        <v>132</v>
      </c>
      <c r="F124" t="s">
        <v>5</v>
      </c>
      <c r="G124" t="s">
        <v>71</v>
      </c>
      <c r="H124" t="s">
        <v>84</v>
      </c>
      <c r="I124" t="s">
        <v>73</v>
      </c>
      <c r="J124" t="s">
        <v>40</v>
      </c>
      <c r="K124" t="s">
        <v>68</v>
      </c>
      <c r="M124" t="s">
        <v>41</v>
      </c>
      <c r="N124" t="s">
        <v>27</v>
      </c>
      <c r="O124">
        <v>4.8</v>
      </c>
      <c r="P124" t="s">
        <v>39</v>
      </c>
    </row>
    <row r="125" spans="1:16">
      <c r="A125" t="s">
        <v>212</v>
      </c>
      <c r="B125">
        <v>46191.849537037036</v>
      </c>
      <c r="C125">
        <v>46191.855304178243</v>
      </c>
      <c r="D125">
        <v>46191.945501423608</v>
      </c>
      <c r="E125" t="s">
        <v>70</v>
      </c>
      <c r="F125" t="s">
        <v>3</v>
      </c>
      <c r="G125" t="s">
        <v>65</v>
      </c>
      <c r="H125" t="s">
        <v>77</v>
      </c>
      <c r="I125" t="s">
        <v>73</v>
      </c>
      <c r="J125" t="s">
        <v>23</v>
      </c>
      <c r="K125" t="s">
        <v>68</v>
      </c>
      <c r="L125">
        <v>4</v>
      </c>
      <c r="M125" t="s">
        <v>24</v>
      </c>
      <c r="N125" t="s">
        <v>21</v>
      </c>
      <c r="O125">
        <v>3.4</v>
      </c>
      <c r="P125" t="s">
        <v>22</v>
      </c>
    </row>
    <row r="126" spans="1:16">
      <c r="A126" t="s">
        <v>213</v>
      </c>
      <c r="B126">
        <v>46117.730532407404</v>
      </c>
      <c r="C126">
        <v>46117.836846840277</v>
      </c>
      <c r="D126">
        <v>46118.214487974539</v>
      </c>
      <c r="E126" t="s">
        <v>70</v>
      </c>
      <c r="F126" t="s">
        <v>5</v>
      </c>
      <c r="G126" t="s">
        <v>94</v>
      </c>
      <c r="H126" t="s">
        <v>109</v>
      </c>
      <c r="I126" t="s">
        <v>92</v>
      </c>
      <c r="J126" t="s">
        <v>37</v>
      </c>
      <c r="K126" t="s">
        <v>68</v>
      </c>
      <c r="L126">
        <v>4</v>
      </c>
      <c r="M126" t="s">
        <v>38</v>
      </c>
      <c r="N126" t="s">
        <v>14</v>
      </c>
      <c r="O126">
        <v>1.2</v>
      </c>
      <c r="P126" t="s">
        <v>39</v>
      </c>
    </row>
    <row r="127" spans="1:16">
      <c r="A127" t="s">
        <v>214</v>
      </c>
      <c r="B127">
        <v>46156.881967592592</v>
      </c>
      <c r="C127">
        <v>46157.038211678242</v>
      </c>
      <c r="D127">
        <v>46158.013309016205</v>
      </c>
      <c r="E127" t="s">
        <v>75</v>
      </c>
      <c r="F127" t="s">
        <v>6</v>
      </c>
      <c r="G127" t="s">
        <v>98</v>
      </c>
      <c r="H127" t="s">
        <v>80</v>
      </c>
      <c r="I127" t="s">
        <v>89</v>
      </c>
      <c r="J127" t="s">
        <v>16</v>
      </c>
      <c r="K127" t="s">
        <v>85</v>
      </c>
      <c r="L127">
        <v>5</v>
      </c>
      <c r="M127" t="s">
        <v>17</v>
      </c>
      <c r="N127" t="s">
        <v>14</v>
      </c>
      <c r="O127">
        <v>2.1</v>
      </c>
      <c r="P127" t="s">
        <v>18</v>
      </c>
    </row>
    <row r="128" spans="1:16">
      <c r="A128" t="s">
        <v>215</v>
      </c>
      <c r="B128">
        <v>46115.540706018517</v>
      </c>
      <c r="C128">
        <v>46115.568696736111</v>
      </c>
      <c r="D128">
        <v>46115.763228564814</v>
      </c>
      <c r="E128" t="s">
        <v>70</v>
      </c>
      <c r="F128" t="s">
        <v>4</v>
      </c>
      <c r="G128" t="s">
        <v>83</v>
      </c>
      <c r="H128" t="s">
        <v>72</v>
      </c>
      <c r="I128" t="s">
        <v>73</v>
      </c>
      <c r="J128" t="s">
        <v>44</v>
      </c>
      <c r="K128" t="s">
        <v>85</v>
      </c>
      <c r="L128">
        <v>3</v>
      </c>
      <c r="M128" t="s">
        <v>45</v>
      </c>
      <c r="N128" t="s">
        <v>33</v>
      </c>
      <c r="O128">
        <v>5.0999999999999996</v>
      </c>
      <c r="P128" t="s">
        <v>30</v>
      </c>
    </row>
    <row r="129" spans="1:16">
      <c r="A129" t="s">
        <v>216</v>
      </c>
      <c r="B129">
        <v>46199.13758101852</v>
      </c>
      <c r="C129">
        <v>46199.364818391201</v>
      </c>
      <c r="D129">
        <v>46199.551196597225</v>
      </c>
      <c r="E129" t="s">
        <v>70</v>
      </c>
      <c r="F129" t="s">
        <v>5</v>
      </c>
      <c r="G129" t="s">
        <v>98</v>
      </c>
      <c r="H129" t="s">
        <v>80</v>
      </c>
      <c r="I129" t="s">
        <v>73</v>
      </c>
      <c r="J129" t="s">
        <v>12</v>
      </c>
      <c r="K129" t="s">
        <v>85</v>
      </c>
      <c r="L129">
        <v>2</v>
      </c>
      <c r="M129" t="s">
        <v>13</v>
      </c>
      <c r="N129" t="s">
        <v>14</v>
      </c>
      <c r="O129">
        <v>4.2</v>
      </c>
      <c r="P129" t="s">
        <v>15</v>
      </c>
    </row>
    <row r="130" spans="1:16">
      <c r="A130" t="s">
        <v>217</v>
      </c>
      <c r="B130">
        <v>46141.418020833335</v>
      </c>
      <c r="C130">
        <v>46141.809004733797</v>
      </c>
      <c r="D130">
        <v>46142.889099814813</v>
      </c>
      <c r="E130" t="s">
        <v>75</v>
      </c>
      <c r="F130" t="s">
        <v>6</v>
      </c>
      <c r="G130" t="s">
        <v>79</v>
      </c>
      <c r="H130" t="s">
        <v>106</v>
      </c>
      <c r="I130" t="s">
        <v>89</v>
      </c>
      <c r="J130" t="s">
        <v>37</v>
      </c>
      <c r="K130" t="s">
        <v>68</v>
      </c>
      <c r="L130">
        <v>5</v>
      </c>
      <c r="M130" t="s">
        <v>38</v>
      </c>
      <c r="N130" t="s">
        <v>14</v>
      </c>
      <c r="O130">
        <v>1.2</v>
      </c>
      <c r="P130" t="s">
        <v>39</v>
      </c>
    </row>
    <row r="131" spans="1:16">
      <c r="A131" t="s">
        <v>218</v>
      </c>
      <c r="B131">
        <v>46198.745069444441</v>
      </c>
      <c r="C131">
        <v>46198.768216747689</v>
      </c>
      <c r="E131" t="s">
        <v>132</v>
      </c>
      <c r="F131" t="s">
        <v>3</v>
      </c>
      <c r="G131" t="s">
        <v>105</v>
      </c>
      <c r="H131" t="s">
        <v>72</v>
      </c>
      <c r="I131" t="s">
        <v>89</v>
      </c>
      <c r="J131" t="s">
        <v>44</v>
      </c>
      <c r="K131" t="s">
        <v>68</v>
      </c>
      <c r="M131" t="s">
        <v>45</v>
      </c>
      <c r="N131" t="s">
        <v>33</v>
      </c>
      <c r="O131">
        <v>5.0999999999999996</v>
      </c>
      <c r="P131" t="s">
        <v>30</v>
      </c>
    </row>
    <row r="132" spans="1:16">
      <c r="A132" t="s">
        <v>219</v>
      </c>
      <c r="B132">
        <v>46131.186203703706</v>
      </c>
      <c r="C132">
        <v>46131.250620127314</v>
      </c>
      <c r="D132">
        <v>46131.33319730324</v>
      </c>
      <c r="E132" t="s">
        <v>75</v>
      </c>
      <c r="F132" t="s">
        <v>4</v>
      </c>
      <c r="G132" t="s">
        <v>105</v>
      </c>
      <c r="H132" t="s">
        <v>88</v>
      </c>
      <c r="I132" t="s">
        <v>67</v>
      </c>
      <c r="J132" t="s">
        <v>31</v>
      </c>
      <c r="K132" t="s">
        <v>68</v>
      </c>
      <c r="L132">
        <v>4</v>
      </c>
      <c r="M132" t="s">
        <v>32</v>
      </c>
      <c r="N132" t="s">
        <v>33</v>
      </c>
      <c r="O132">
        <v>7.1</v>
      </c>
      <c r="P132" t="s">
        <v>18</v>
      </c>
    </row>
    <row r="133" spans="1:16">
      <c r="A133" t="s">
        <v>220</v>
      </c>
      <c r="B133">
        <v>46195.581817129627</v>
      </c>
      <c r="C133">
        <v>46195.69801803241</v>
      </c>
      <c r="D133">
        <v>46196.435390555554</v>
      </c>
      <c r="E133" t="s">
        <v>75</v>
      </c>
      <c r="F133" t="s">
        <v>5</v>
      </c>
      <c r="G133" t="s">
        <v>94</v>
      </c>
      <c r="H133" t="s">
        <v>109</v>
      </c>
      <c r="I133" t="s">
        <v>73</v>
      </c>
      <c r="J133" t="s">
        <v>12</v>
      </c>
      <c r="K133" t="s">
        <v>68</v>
      </c>
      <c r="L133">
        <v>4</v>
      </c>
      <c r="M133" t="s">
        <v>13</v>
      </c>
      <c r="N133" t="s">
        <v>14</v>
      </c>
      <c r="O133">
        <v>4.2</v>
      </c>
      <c r="P133" t="s">
        <v>15</v>
      </c>
    </row>
    <row r="134" spans="1:16">
      <c r="A134" t="s">
        <v>221</v>
      </c>
      <c r="B134">
        <v>46133.897824074076</v>
      </c>
      <c r="C134">
        <v>46134.262929351855</v>
      </c>
      <c r="D134">
        <v>46135.007778460647</v>
      </c>
      <c r="E134" t="s">
        <v>75</v>
      </c>
      <c r="F134" t="s">
        <v>6</v>
      </c>
      <c r="G134" t="s">
        <v>83</v>
      </c>
      <c r="H134" t="s">
        <v>77</v>
      </c>
      <c r="I134" t="s">
        <v>89</v>
      </c>
      <c r="J134" t="s">
        <v>31</v>
      </c>
      <c r="K134" t="s">
        <v>68</v>
      </c>
      <c r="L134">
        <v>5</v>
      </c>
      <c r="M134" t="s">
        <v>32</v>
      </c>
      <c r="N134" t="s">
        <v>33</v>
      </c>
      <c r="O134">
        <v>7.1</v>
      </c>
      <c r="P134" t="s">
        <v>18</v>
      </c>
    </row>
    <row r="135" spans="1:16">
      <c r="A135" t="s">
        <v>222</v>
      </c>
      <c r="B135">
        <v>46143.27815972222</v>
      </c>
      <c r="C135">
        <v>46143.567947442127</v>
      </c>
      <c r="D135">
        <v>46143.957110300929</v>
      </c>
      <c r="E135" t="s">
        <v>75</v>
      </c>
      <c r="F135" t="s">
        <v>5</v>
      </c>
      <c r="G135" t="s">
        <v>79</v>
      </c>
      <c r="H135" t="s">
        <v>77</v>
      </c>
      <c r="I135" t="s">
        <v>67</v>
      </c>
      <c r="J135" t="s">
        <v>16</v>
      </c>
      <c r="K135" t="s">
        <v>68</v>
      </c>
      <c r="L135">
        <v>4</v>
      </c>
      <c r="M135" t="s">
        <v>17</v>
      </c>
      <c r="N135" t="s">
        <v>14</v>
      </c>
      <c r="O135">
        <v>2.1</v>
      </c>
      <c r="P135" t="s">
        <v>18</v>
      </c>
    </row>
    <row r="136" spans="1:16">
      <c r="A136" t="s">
        <v>223</v>
      </c>
      <c r="B136">
        <v>46167.054548611108</v>
      </c>
      <c r="C136">
        <v>46167.084313842592</v>
      </c>
      <c r="D136">
        <v>46167.28444369213</v>
      </c>
      <c r="E136" t="s">
        <v>75</v>
      </c>
      <c r="F136" t="s">
        <v>4</v>
      </c>
      <c r="G136" t="s">
        <v>83</v>
      </c>
      <c r="H136" t="s">
        <v>88</v>
      </c>
      <c r="I136" t="s">
        <v>73</v>
      </c>
      <c r="J136" t="s">
        <v>34</v>
      </c>
      <c r="K136" t="s">
        <v>68</v>
      </c>
      <c r="L136">
        <v>4</v>
      </c>
      <c r="M136" t="s">
        <v>35</v>
      </c>
      <c r="N136" t="s">
        <v>33</v>
      </c>
      <c r="O136">
        <v>3</v>
      </c>
      <c r="P136" t="s">
        <v>36</v>
      </c>
    </row>
    <row r="137" spans="1:16">
      <c r="A137" t="s">
        <v>224</v>
      </c>
      <c r="B137">
        <v>46160.773726851854</v>
      </c>
      <c r="C137">
        <v>46160.817044895834</v>
      </c>
      <c r="D137">
        <v>46161.187514189813</v>
      </c>
      <c r="E137" t="s">
        <v>70</v>
      </c>
      <c r="F137" t="s">
        <v>4</v>
      </c>
      <c r="G137" t="s">
        <v>83</v>
      </c>
      <c r="H137" t="s">
        <v>77</v>
      </c>
      <c r="I137" t="s">
        <v>67</v>
      </c>
      <c r="J137" t="s">
        <v>34</v>
      </c>
      <c r="K137" t="s">
        <v>68</v>
      </c>
      <c r="L137">
        <v>3</v>
      </c>
      <c r="M137" t="s">
        <v>35</v>
      </c>
      <c r="N137" t="s">
        <v>33</v>
      </c>
      <c r="O137">
        <v>3</v>
      </c>
      <c r="P137" t="s">
        <v>36</v>
      </c>
    </row>
    <row r="138" spans="1:16">
      <c r="A138" t="s">
        <v>225</v>
      </c>
      <c r="B138">
        <v>46120.550092592595</v>
      </c>
      <c r="C138">
        <v>46120.610052615739</v>
      </c>
      <c r="D138">
        <v>46121.133229780091</v>
      </c>
      <c r="E138" t="s">
        <v>75</v>
      </c>
      <c r="F138" t="s">
        <v>5</v>
      </c>
      <c r="G138" t="s">
        <v>83</v>
      </c>
      <c r="H138" t="s">
        <v>72</v>
      </c>
      <c r="I138" t="s">
        <v>67</v>
      </c>
      <c r="J138" t="s">
        <v>31</v>
      </c>
      <c r="K138" t="s">
        <v>68</v>
      </c>
      <c r="L138">
        <v>4</v>
      </c>
      <c r="M138" t="s">
        <v>32</v>
      </c>
      <c r="N138" t="s">
        <v>33</v>
      </c>
      <c r="O138">
        <v>7.1</v>
      </c>
      <c r="P138" t="s">
        <v>18</v>
      </c>
    </row>
    <row r="139" spans="1:16">
      <c r="A139" t="s">
        <v>226</v>
      </c>
      <c r="B139">
        <v>46160.699293981481</v>
      </c>
      <c r="C139">
        <v>46160.746150868057</v>
      </c>
      <c r="D139">
        <v>46160.794434328702</v>
      </c>
      <c r="E139" t="s">
        <v>75</v>
      </c>
      <c r="F139" t="s">
        <v>4</v>
      </c>
      <c r="G139" t="s">
        <v>65</v>
      </c>
      <c r="H139" t="s">
        <v>109</v>
      </c>
      <c r="I139" t="s">
        <v>89</v>
      </c>
      <c r="J139" t="s">
        <v>23</v>
      </c>
      <c r="K139" t="s">
        <v>68</v>
      </c>
      <c r="L139">
        <v>3</v>
      </c>
      <c r="M139" t="s">
        <v>24</v>
      </c>
      <c r="N139" t="s">
        <v>21</v>
      </c>
      <c r="O139">
        <v>3.4</v>
      </c>
      <c r="P139" t="s">
        <v>22</v>
      </c>
    </row>
    <row r="140" spans="1:16">
      <c r="A140" t="s">
        <v>227</v>
      </c>
      <c r="B140">
        <v>46168.18959490741</v>
      </c>
      <c r="C140">
        <v>46168.2972090162</v>
      </c>
      <c r="D140">
        <v>46168.641490787035</v>
      </c>
      <c r="E140" t="s">
        <v>70</v>
      </c>
      <c r="F140" t="s">
        <v>5</v>
      </c>
      <c r="G140" t="s">
        <v>79</v>
      </c>
      <c r="H140" t="s">
        <v>80</v>
      </c>
      <c r="I140" t="s">
        <v>73</v>
      </c>
      <c r="J140" t="s">
        <v>16</v>
      </c>
      <c r="K140" t="s">
        <v>68</v>
      </c>
      <c r="L140">
        <v>5</v>
      </c>
      <c r="M140" t="s">
        <v>17</v>
      </c>
      <c r="N140" t="s">
        <v>14</v>
      </c>
      <c r="O140">
        <v>2.1</v>
      </c>
      <c r="P140" t="s">
        <v>18</v>
      </c>
    </row>
    <row r="141" spans="1:16">
      <c r="A141" t="s">
        <v>228</v>
      </c>
      <c r="B141">
        <v>46196.633009259262</v>
      </c>
      <c r="C141">
        <v>46196.816910578702</v>
      </c>
      <c r="D141">
        <v>46197.648671284725</v>
      </c>
      <c r="E141" t="s">
        <v>75</v>
      </c>
      <c r="F141" t="s">
        <v>5</v>
      </c>
      <c r="G141" t="s">
        <v>83</v>
      </c>
      <c r="H141" t="s">
        <v>66</v>
      </c>
      <c r="I141" t="s">
        <v>92</v>
      </c>
      <c r="J141" t="s">
        <v>31</v>
      </c>
      <c r="K141" t="s">
        <v>68</v>
      </c>
      <c r="L141">
        <v>4</v>
      </c>
      <c r="M141" t="s">
        <v>32</v>
      </c>
      <c r="N141" t="s">
        <v>33</v>
      </c>
      <c r="O141">
        <v>7.1</v>
      </c>
      <c r="P141" t="s">
        <v>18</v>
      </c>
    </row>
    <row r="142" spans="1:16">
      <c r="A142" t="s">
        <v>229</v>
      </c>
      <c r="B142">
        <v>46133.446388888886</v>
      </c>
      <c r="C142">
        <v>46133.576251701386</v>
      </c>
      <c r="D142">
        <v>46135.441404976853</v>
      </c>
      <c r="E142" t="s">
        <v>75</v>
      </c>
      <c r="F142" t="s">
        <v>5</v>
      </c>
      <c r="G142" t="s">
        <v>76</v>
      </c>
      <c r="H142" t="s">
        <v>72</v>
      </c>
      <c r="I142" t="s">
        <v>73</v>
      </c>
      <c r="J142" t="s">
        <v>40</v>
      </c>
      <c r="K142" t="s">
        <v>68</v>
      </c>
      <c r="L142">
        <v>4</v>
      </c>
      <c r="M142" t="s">
        <v>41</v>
      </c>
      <c r="N142" t="s">
        <v>27</v>
      </c>
      <c r="O142">
        <v>4.8</v>
      </c>
      <c r="P142" t="s">
        <v>39</v>
      </c>
    </row>
    <row r="143" spans="1:16">
      <c r="A143" t="s">
        <v>230</v>
      </c>
      <c r="B143">
        <v>46190.083078703705</v>
      </c>
      <c r="C143">
        <v>46190.197286574075</v>
      </c>
      <c r="D143">
        <v>46191.254883576388</v>
      </c>
      <c r="E143" t="s">
        <v>70</v>
      </c>
      <c r="F143" t="s">
        <v>5</v>
      </c>
      <c r="G143" t="s">
        <v>83</v>
      </c>
      <c r="H143" t="s">
        <v>106</v>
      </c>
      <c r="I143" t="s">
        <v>73</v>
      </c>
      <c r="J143" t="s">
        <v>44</v>
      </c>
      <c r="K143" t="s">
        <v>68</v>
      </c>
      <c r="L143">
        <v>3</v>
      </c>
      <c r="M143" t="s">
        <v>45</v>
      </c>
      <c r="N143" t="s">
        <v>33</v>
      </c>
      <c r="O143">
        <v>5.0999999999999996</v>
      </c>
      <c r="P143" t="s">
        <v>30</v>
      </c>
    </row>
    <row r="144" spans="1:16">
      <c r="A144" t="s">
        <v>231</v>
      </c>
      <c r="B144">
        <v>46157.077407407407</v>
      </c>
      <c r="C144">
        <v>46157.130076030095</v>
      </c>
      <c r="D144">
        <v>46157.700653726853</v>
      </c>
      <c r="E144" t="s">
        <v>75</v>
      </c>
      <c r="F144" t="s">
        <v>4</v>
      </c>
      <c r="G144" t="s">
        <v>71</v>
      </c>
      <c r="H144" t="s">
        <v>72</v>
      </c>
      <c r="I144" t="s">
        <v>89</v>
      </c>
      <c r="J144" t="s">
        <v>28</v>
      </c>
      <c r="K144" t="s">
        <v>85</v>
      </c>
      <c r="L144">
        <v>2</v>
      </c>
      <c r="M144" t="s">
        <v>29</v>
      </c>
      <c r="N144" t="s">
        <v>27</v>
      </c>
      <c r="O144">
        <v>1.8</v>
      </c>
      <c r="P144" t="s">
        <v>30</v>
      </c>
    </row>
    <row r="145" spans="1:16">
      <c r="A145" t="s">
        <v>232</v>
      </c>
      <c r="B145">
        <v>46182.430324074077</v>
      </c>
      <c r="C145">
        <v>46182.440552835651</v>
      </c>
      <c r="D145">
        <v>46182.508506782404</v>
      </c>
      <c r="E145" t="s">
        <v>75</v>
      </c>
      <c r="F145" t="s">
        <v>3</v>
      </c>
      <c r="G145" t="s">
        <v>105</v>
      </c>
      <c r="H145" t="s">
        <v>106</v>
      </c>
      <c r="I145" t="s">
        <v>73</v>
      </c>
      <c r="J145" t="s">
        <v>34</v>
      </c>
      <c r="K145" t="s">
        <v>68</v>
      </c>
      <c r="L145">
        <v>5</v>
      </c>
      <c r="M145" t="s">
        <v>35</v>
      </c>
      <c r="N145" t="s">
        <v>33</v>
      </c>
      <c r="O145">
        <v>3</v>
      </c>
      <c r="P145" t="s">
        <v>36</v>
      </c>
    </row>
    <row r="146" spans="1:16">
      <c r="A146" t="s">
        <v>233</v>
      </c>
      <c r="B146">
        <v>46122.368969907409</v>
      </c>
      <c r="C146">
        <v>46122.700440289351</v>
      </c>
      <c r="D146">
        <v>46122.910174548611</v>
      </c>
      <c r="E146" t="s">
        <v>75</v>
      </c>
      <c r="F146" t="s">
        <v>5</v>
      </c>
      <c r="G146" t="s">
        <v>76</v>
      </c>
      <c r="H146" t="s">
        <v>109</v>
      </c>
      <c r="I146" t="s">
        <v>73</v>
      </c>
      <c r="J146" t="s">
        <v>28</v>
      </c>
      <c r="K146" t="s">
        <v>68</v>
      </c>
      <c r="L146">
        <v>4</v>
      </c>
      <c r="M146" t="s">
        <v>29</v>
      </c>
      <c r="N146" t="s">
        <v>27</v>
      </c>
      <c r="O146">
        <v>1.8</v>
      </c>
      <c r="P146" t="s">
        <v>30</v>
      </c>
    </row>
    <row r="147" spans="1:16">
      <c r="A147" t="s">
        <v>234</v>
      </c>
      <c r="B147">
        <v>46139.393043981479</v>
      </c>
      <c r="C147">
        <v>46139.420691631945</v>
      </c>
      <c r="D147">
        <v>46139.583127152779</v>
      </c>
      <c r="E147" t="s">
        <v>75</v>
      </c>
      <c r="F147" t="s">
        <v>3</v>
      </c>
      <c r="G147" t="s">
        <v>71</v>
      </c>
      <c r="H147" t="s">
        <v>88</v>
      </c>
      <c r="I147" t="s">
        <v>73</v>
      </c>
      <c r="J147" t="s">
        <v>28</v>
      </c>
      <c r="K147" t="s">
        <v>85</v>
      </c>
      <c r="L147">
        <v>2</v>
      </c>
      <c r="M147" t="s">
        <v>29</v>
      </c>
      <c r="N147" t="s">
        <v>27</v>
      </c>
      <c r="O147">
        <v>1.8</v>
      </c>
      <c r="P147" t="s">
        <v>30</v>
      </c>
    </row>
    <row r="148" spans="1:16">
      <c r="A148" t="s">
        <v>235</v>
      </c>
      <c r="B148">
        <v>46150.216979166667</v>
      </c>
      <c r="C148">
        <v>46150.238558101853</v>
      </c>
      <c r="D148">
        <v>46150.708934317132</v>
      </c>
      <c r="E148" t="s">
        <v>75</v>
      </c>
      <c r="F148" t="s">
        <v>4</v>
      </c>
      <c r="G148" t="s">
        <v>105</v>
      </c>
      <c r="H148" t="s">
        <v>72</v>
      </c>
      <c r="I148" t="s">
        <v>92</v>
      </c>
      <c r="J148" t="s">
        <v>34</v>
      </c>
      <c r="K148" t="s">
        <v>68</v>
      </c>
      <c r="L148">
        <v>5</v>
      </c>
      <c r="M148" t="s">
        <v>35</v>
      </c>
      <c r="N148" t="s">
        <v>33</v>
      </c>
      <c r="O148">
        <v>3</v>
      </c>
      <c r="P148" t="s">
        <v>36</v>
      </c>
    </row>
    <row r="149" spans="1:16">
      <c r="A149" t="s">
        <v>236</v>
      </c>
      <c r="B149">
        <v>46136.870393518519</v>
      </c>
      <c r="C149">
        <v>46136.883003495372</v>
      </c>
      <c r="D149">
        <v>46137.393054803244</v>
      </c>
      <c r="E149" t="s">
        <v>70</v>
      </c>
      <c r="F149" t="s">
        <v>4</v>
      </c>
      <c r="G149" t="s">
        <v>79</v>
      </c>
      <c r="H149" t="s">
        <v>106</v>
      </c>
      <c r="I149" t="s">
        <v>92</v>
      </c>
      <c r="J149" t="s">
        <v>16</v>
      </c>
      <c r="K149" t="s">
        <v>85</v>
      </c>
      <c r="L149">
        <v>4</v>
      </c>
      <c r="M149" t="s">
        <v>17</v>
      </c>
      <c r="N149" t="s">
        <v>14</v>
      </c>
      <c r="O149">
        <v>2.1</v>
      </c>
      <c r="P149" t="s">
        <v>18</v>
      </c>
    </row>
    <row r="150" spans="1:16">
      <c r="A150" t="s">
        <v>237</v>
      </c>
      <c r="B150">
        <v>46178.672974537039</v>
      </c>
      <c r="C150">
        <v>46178.818449999999</v>
      </c>
      <c r="D150">
        <v>46179.254606041664</v>
      </c>
      <c r="E150" t="s">
        <v>75</v>
      </c>
      <c r="F150" t="s">
        <v>5</v>
      </c>
      <c r="G150" t="s">
        <v>71</v>
      </c>
      <c r="H150" t="s">
        <v>88</v>
      </c>
      <c r="I150" t="s">
        <v>89</v>
      </c>
      <c r="J150" t="s">
        <v>25</v>
      </c>
      <c r="K150" t="s">
        <v>68</v>
      </c>
      <c r="L150">
        <v>4</v>
      </c>
      <c r="M150" t="s">
        <v>26</v>
      </c>
      <c r="N150" t="s">
        <v>27</v>
      </c>
      <c r="O150">
        <v>6.3</v>
      </c>
      <c r="P150" t="s">
        <v>15</v>
      </c>
    </row>
    <row r="151" spans="1:16">
      <c r="A151" t="s">
        <v>238</v>
      </c>
      <c r="B151">
        <v>46190.104710648149</v>
      </c>
      <c r="C151">
        <v>46190.282028171299</v>
      </c>
      <c r="D151">
        <v>46191.152506678241</v>
      </c>
      <c r="E151" t="s">
        <v>75</v>
      </c>
      <c r="F151" t="s">
        <v>5</v>
      </c>
      <c r="G151" t="s">
        <v>83</v>
      </c>
      <c r="H151" t="s">
        <v>80</v>
      </c>
      <c r="I151" t="s">
        <v>67</v>
      </c>
      <c r="J151" t="s">
        <v>44</v>
      </c>
      <c r="K151" t="s">
        <v>68</v>
      </c>
      <c r="L151">
        <v>4</v>
      </c>
      <c r="M151" t="s">
        <v>45</v>
      </c>
      <c r="N151" t="s">
        <v>33</v>
      </c>
      <c r="O151">
        <v>5.0999999999999996</v>
      </c>
      <c r="P151" t="s">
        <v>30</v>
      </c>
    </row>
    <row r="152" spans="1:16">
      <c r="A152" t="s">
        <v>239</v>
      </c>
      <c r="B152">
        <v>46155.12641203704</v>
      </c>
      <c r="C152">
        <v>46155.132569756941</v>
      </c>
      <c r="D152">
        <v>46155.210074386574</v>
      </c>
      <c r="E152" t="s">
        <v>75</v>
      </c>
      <c r="F152" t="s">
        <v>3</v>
      </c>
      <c r="G152" t="s">
        <v>65</v>
      </c>
      <c r="H152" t="s">
        <v>66</v>
      </c>
      <c r="I152" t="s">
        <v>73</v>
      </c>
      <c r="J152" t="s">
        <v>19</v>
      </c>
      <c r="K152" t="s">
        <v>68</v>
      </c>
      <c r="L152">
        <v>3</v>
      </c>
      <c r="M152" t="s">
        <v>20</v>
      </c>
      <c r="N152" t="s">
        <v>21</v>
      </c>
      <c r="O152">
        <v>5.6</v>
      </c>
      <c r="P152" t="s">
        <v>22</v>
      </c>
    </row>
    <row r="153" spans="1:16">
      <c r="A153" t="s">
        <v>240</v>
      </c>
      <c r="B153">
        <v>46202.709629629629</v>
      </c>
      <c r="C153">
        <v>46202.726644872688</v>
      </c>
      <c r="D153">
        <v>46202.882460983798</v>
      </c>
      <c r="E153" t="s">
        <v>75</v>
      </c>
      <c r="F153" t="s">
        <v>3</v>
      </c>
      <c r="G153" t="s">
        <v>83</v>
      </c>
      <c r="H153" t="s">
        <v>84</v>
      </c>
      <c r="I153" t="s">
        <v>73</v>
      </c>
      <c r="J153" t="s">
        <v>44</v>
      </c>
      <c r="K153" t="s">
        <v>68</v>
      </c>
      <c r="L153">
        <v>3</v>
      </c>
      <c r="M153" t="s">
        <v>45</v>
      </c>
      <c r="N153" t="s">
        <v>33</v>
      </c>
      <c r="O153">
        <v>5.0999999999999996</v>
      </c>
      <c r="P153" t="s">
        <v>30</v>
      </c>
    </row>
    <row r="154" spans="1:16">
      <c r="A154" t="s">
        <v>241</v>
      </c>
      <c r="B154">
        <v>46124.507002314815</v>
      </c>
      <c r="C154">
        <v>46124.511922951388</v>
      </c>
      <c r="D154">
        <v>46124.770674120373</v>
      </c>
      <c r="E154" t="s">
        <v>75</v>
      </c>
      <c r="F154" t="s">
        <v>3</v>
      </c>
      <c r="G154" t="s">
        <v>65</v>
      </c>
      <c r="H154" t="s">
        <v>84</v>
      </c>
      <c r="I154" t="s">
        <v>73</v>
      </c>
      <c r="J154" t="s">
        <v>19</v>
      </c>
      <c r="K154" t="s">
        <v>68</v>
      </c>
      <c r="L154">
        <v>5</v>
      </c>
      <c r="M154" t="s">
        <v>20</v>
      </c>
      <c r="N154" t="s">
        <v>21</v>
      </c>
      <c r="O154">
        <v>5.6</v>
      </c>
      <c r="P154" t="s">
        <v>22</v>
      </c>
    </row>
    <row r="155" spans="1:16">
      <c r="A155" t="s">
        <v>242</v>
      </c>
      <c r="B155">
        <v>46175.51766203704</v>
      </c>
      <c r="C155">
        <v>46175.602006550929</v>
      </c>
      <c r="D155">
        <v>46175.751978067128</v>
      </c>
      <c r="E155" t="s">
        <v>75</v>
      </c>
      <c r="F155" t="s">
        <v>5</v>
      </c>
      <c r="G155" t="s">
        <v>76</v>
      </c>
      <c r="H155" t="s">
        <v>66</v>
      </c>
      <c r="I155" t="s">
        <v>89</v>
      </c>
      <c r="J155" t="s">
        <v>40</v>
      </c>
      <c r="K155" t="s">
        <v>68</v>
      </c>
      <c r="L155">
        <v>5</v>
      </c>
      <c r="M155" t="s">
        <v>41</v>
      </c>
      <c r="N155" t="s">
        <v>27</v>
      </c>
      <c r="O155">
        <v>4.8</v>
      </c>
      <c r="P155" t="s">
        <v>39</v>
      </c>
    </row>
    <row r="156" spans="1:16">
      <c r="A156" t="s">
        <v>243</v>
      </c>
      <c r="B156">
        <v>46144.98332175926</v>
      </c>
      <c r="C156">
        <v>46145.016532361115</v>
      </c>
      <c r="D156">
        <v>46145.282535254628</v>
      </c>
      <c r="E156" t="s">
        <v>75</v>
      </c>
      <c r="F156" t="s">
        <v>4</v>
      </c>
      <c r="G156" t="s">
        <v>79</v>
      </c>
      <c r="H156" t="s">
        <v>77</v>
      </c>
      <c r="I156" t="s">
        <v>92</v>
      </c>
      <c r="J156" t="s">
        <v>37</v>
      </c>
      <c r="K156" t="s">
        <v>68</v>
      </c>
      <c r="L156">
        <v>4</v>
      </c>
      <c r="M156" t="s">
        <v>38</v>
      </c>
      <c r="N156" t="s">
        <v>14</v>
      </c>
      <c r="O156">
        <v>1.2</v>
      </c>
      <c r="P156" t="s">
        <v>39</v>
      </c>
    </row>
    <row r="157" spans="1:16">
      <c r="A157" t="s">
        <v>244</v>
      </c>
      <c r="B157">
        <v>46178.732314814813</v>
      </c>
      <c r="C157">
        <v>46178.758599988425</v>
      </c>
      <c r="D157">
        <v>46178.961605497687</v>
      </c>
      <c r="E157" t="s">
        <v>75</v>
      </c>
      <c r="F157" t="s">
        <v>4</v>
      </c>
      <c r="G157" t="s">
        <v>105</v>
      </c>
      <c r="H157" t="s">
        <v>80</v>
      </c>
      <c r="I157" t="s">
        <v>73</v>
      </c>
      <c r="J157" t="s">
        <v>44</v>
      </c>
      <c r="K157" t="s">
        <v>68</v>
      </c>
      <c r="L157">
        <v>4</v>
      </c>
      <c r="M157" t="s">
        <v>45</v>
      </c>
      <c r="N157" t="s">
        <v>33</v>
      </c>
      <c r="O157">
        <v>5.0999999999999996</v>
      </c>
      <c r="P157" t="s">
        <v>30</v>
      </c>
    </row>
    <row r="158" spans="1:16">
      <c r="A158" t="s">
        <v>245</v>
      </c>
      <c r="B158">
        <v>46165.507685185185</v>
      </c>
      <c r="C158">
        <v>46165.71793298611</v>
      </c>
      <c r="D158">
        <v>46166.954152303239</v>
      </c>
      <c r="E158" t="s">
        <v>75</v>
      </c>
      <c r="F158" t="s">
        <v>5</v>
      </c>
      <c r="G158" t="s">
        <v>105</v>
      </c>
      <c r="H158" t="s">
        <v>84</v>
      </c>
      <c r="I158" t="s">
        <v>73</v>
      </c>
      <c r="J158" t="s">
        <v>31</v>
      </c>
      <c r="K158" t="s">
        <v>68</v>
      </c>
      <c r="L158">
        <v>4</v>
      </c>
      <c r="M158" t="s">
        <v>32</v>
      </c>
      <c r="N158" t="s">
        <v>33</v>
      </c>
      <c r="O158">
        <v>7.1</v>
      </c>
      <c r="P158" t="s">
        <v>18</v>
      </c>
    </row>
    <row r="159" spans="1:16">
      <c r="A159" t="s">
        <v>246</v>
      </c>
      <c r="B159">
        <v>46176.740115740744</v>
      </c>
      <c r="C159">
        <v>46176.943537974534</v>
      </c>
      <c r="D159">
        <v>46177.418055509261</v>
      </c>
      <c r="E159" t="s">
        <v>75</v>
      </c>
      <c r="F159" t="s">
        <v>5</v>
      </c>
      <c r="G159" t="s">
        <v>71</v>
      </c>
      <c r="H159" t="s">
        <v>77</v>
      </c>
      <c r="I159" t="s">
        <v>73</v>
      </c>
      <c r="J159" t="s">
        <v>28</v>
      </c>
      <c r="K159" t="s">
        <v>68</v>
      </c>
      <c r="L159">
        <v>3</v>
      </c>
      <c r="M159" t="s">
        <v>29</v>
      </c>
      <c r="N159" t="s">
        <v>27</v>
      </c>
      <c r="O159">
        <v>1.8</v>
      </c>
      <c r="P159" t="s">
        <v>30</v>
      </c>
    </row>
    <row r="160" spans="1:16">
      <c r="A160" t="s">
        <v>247</v>
      </c>
      <c r="B160">
        <v>46168.938344907408</v>
      </c>
      <c r="C160">
        <v>46169.132267962967</v>
      </c>
      <c r="D160">
        <v>46169.316067314816</v>
      </c>
      <c r="E160" t="s">
        <v>75</v>
      </c>
      <c r="F160" t="s">
        <v>5</v>
      </c>
      <c r="G160" t="s">
        <v>65</v>
      </c>
      <c r="H160" t="s">
        <v>109</v>
      </c>
      <c r="I160" t="s">
        <v>89</v>
      </c>
      <c r="J160" t="s">
        <v>23</v>
      </c>
      <c r="K160" t="s">
        <v>68</v>
      </c>
      <c r="L160">
        <v>4</v>
      </c>
      <c r="M160" t="s">
        <v>24</v>
      </c>
      <c r="N160" t="s">
        <v>21</v>
      </c>
      <c r="O160">
        <v>3.4</v>
      </c>
      <c r="P160" t="s">
        <v>22</v>
      </c>
    </row>
    <row r="161" spans="1:16">
      <c r="A161" t="s">
        <v>248</v>
      </c>
      <c r="B161">
        <v>46188.639687499999</v>
      </c>
      <c r="C161">
        <v>46188.732237905089</v>
      </c>
      <c r="D161">
        <v>46189.95887678241</v>
      </c>
      <c r="E161" t="s">
        <v>75</v>
      </c>
      <c r="F161" t="s">
        <v>5</v>
      </c>
      <c r="G161" t="s">
        <v>98</v>
      </c>
      <c r="H161" t="s">
        <v>106</v>
      </c>
      <c r="I161" t="s">
        <v>89</v>
      </c>
      <c r="J161" t="s">
        <v>37</v>
      </c>
      <c r="K161" t="s">
        <v>68</v>
      </c>
      <c r="L161">
        <v>4</v>
      </c>
      <c r="M161" t="s">
        <v>38</v>
      </c>
      <c r="N161" t="s">
        <v>14</v>
      </c>
      <c r="O161">
        <v>1.2</v>
      </c>
      <c r="P161" t="s">
        <v>39</v>
      </c>
    </row>
    <row r="162" spans="1:16">
      <c r="A162" t="s">
        <v>249</v>
      </c>
      <c r="B162">
        <v>46168.940439814818</v>
      </c>
      <c r="C162">
        <v>46169.095731805559</v>
      </c>
      <c r="D162">
        <v>46175.651072812499</v>
      </c>
      <c r="E162" t="s">
        <v>75</v>
      </c>
      <c r="F162" t="s">
        <v>6</v>
      </c>
      <c r="G162" t="s">
        <v>79</v>
      </c>
      <c r="H162" t="s">
        <v>80</v>
      </c>
      <c r="I162" t="s">
        <v>92</v>
      </c>
      <c r="J162" t="s">
        <v>37</v>
      </c>
      <c r="K162" t="s">
        <v>68</v>
      </c>
      <c r="L162">
        <v>4</v>
      </c>
      <c r="M162" t="s">
        <v>38</v>
      </c>
      <c r="N162" t="s">
        <v>14</v>
      </c>
      <c r="O162">
        <v>1.2</v>
      </c>
      <c r="P162" t="s">
        <v>39</v>
      </c>
    </row>
    <row r="163" spans="1:16">
      <c r="A163" t="s">
        <v>250</v>
      </c>
      <c r="B163">
        <v>46139.423171296294</v>
      </c>
      <c r="C163">
        <v>46139.707369618052</v>
      </c>
      <c r="D163">
        <v>46140.564580243059</v>
      </c>
      <c r="E163" t="s">
        <v>75</v>
      </c>
      <c r="F163" t="s">
        <v>5</v>
      </c>
      <c r="G163" t="s">
        <v>76</v>
      </c>
      <c r="H163" t="s">
        <v>80</v>
      </c>
      <c r="I163" t="s">
        <v>89</v>
      </c>
      <c r="J163" t="s">
        <v>25</v>
      </c>
      <c r="K163" t="s">
        <v>85</v>
      </c>
      <c r="L163">
        <v>3</v>
      </c>
      <c r="M163" t="s">
        <v>26</v>
      </c>
      <c r="N163" t="s">
        <v>27</v>
      </c>
      <c r="O163">
        <v>6.3</v>
      </c>
      <c r="P163" t="s">
        <v>15</v>
      </c>
    </row>
    <row r="164" spans="1:16">
      <c r="A164" t="s">
        <v>251</v>
      </c>
      <c r="B164">
        <v>46155.047534722224</v>
      </c>
      <c r="C164">
        <v>46155.206247418981</v>
      </c>
      <c r="D164">
        <v>46155.337459803239</v>
      </c>
      <c r="E164" t="s">
        <v>75</v>
      </c>
      <c r="F164" t="s">
        <v>5</v>
      </c>
      <c r="G164" t="s">
        <v>98</v>
      </c>
      <c r="H164" t="s">
        <v>88</v>
      </c>
      <c r="I164" t="s">
        <v>89</v>
      </c>
      <c r="J164" t="s">
        <v>16</v>
      </c>
      <c r="K164" t="s">
        <v>68</v>
      </c>
      <c r="L164">
        <v>5</v>
      </c>
      <c r="M164" t="s">
        <v>17</v>
      </c>
      <c r="N164" t="s">
        <v>14</v>
      </c>
      <c r="O164">
        <v>2.1</v>
      </c>
      <c r="P164" t="s">
        <v>18</v>
      </c>
    </row>
    <row r="165" spans="1:16">
      <c r="A165" t="s">
        <v>252</v>
      </c>
      <c r="B165">
        <v>46201.628009259257</v>
      </c>
      <c r="C165">
        <v>46201.641676851854</v>
      </c>
      <c r="D165">
        <v>46201.863163888891</v>
      </c>
      <c r="E165" t="s">
        <v>75</v>
      </c>
      <c r="F165" t="s">
        <v>4</v>
      </c>
      <c r="G165" t="s">
        <v>65</v>
      </c>
      <c r="H165" t="s">
        <v>88</v>
      </c>
      <c r="I165" t="s">
        <v>89</v>
      </c>
      <c r="J165" t="s">
        <v>19</v>
      </c>
      <c r="K165" t="s">
        <v>68</v>
      </c>
      <c r="L165">
        <v>5</v>
      </c>
      <c r="M165" t="s">
        <v>20</v>
      </c>
      <c r="N165" t="s">
        <v>21</v>
      </c>
      <c r="O165">
        <v>5.6</v>
      </c>
      <c r="P165" t="s">
        <v>22</v>
      </c>
    </row>
    <row r="166" spans="1:16">
      <c r="A166" t="s">
        <v>253</v>
      </c>
      <c r="B166">
        <v>46181.655636574076</v>
      </c>
      <c r="C166">
        <v>46181.674911400463</v>
      </c>
      <c r="D166">
        <v>46181.832970023148</v>
      </c>
      <c r="E166" t="s">
        <v>75</v>
      </c>
      <c r="F166" t="s">
        <v>3</v>
      </c>
      <c r="G166" t="s">
        <v>65</v>
      </c>
      <c r="H166" t="s">
        <v>84</v>
      </c>
      <c r="I166" t="s">
        <v>73</v>
      </c>
      <c r="J166" t="s">
        <v>19</v>
      </c>
      <c r="K166" t="s">
        <v>68</v>
      </c>
      <c r="L166">
        <v>5</v>
      </c>
      <c r="M166" t="s">
        <v>20</v>
      </c>
      <c r="N166" t="s">
        <v>21</v>
      </c>
      <c r="O166">
        <v>5.6</v>
      </c>
      <c r="P166" t="s">
        <v>22</v>
      </c>
    </row>
    <row r="167" spans="1:16">
      <c r="A167" t="s">
        <v>254</v>
      </c>
      <c r="B167">
        <v>46184.283414351848</v>
      </c>
      <c r="C167">
        <v>46184.300603101852</v>
      </c>
      <c r="D167">
        <v>46184.330561655093</v>
      </c>
      <c r="E167" t="s">
        <v>75</v>
      </c>
      <c r="F167" t="s">
        <v>3</v>
      </c>
      <c r="G167" t="s">
        <v>105</v>
      </c>
      <c r="H167" t="s">
        <v>88</v>
      </c>
      <c r="I167" t="s">
        <v>73</v>
      </c>
      <c r="J167" t="s">
        <v>34</v>
      </c>
      <c r="K167" t="s">
        <v>68</v>
      </c>
      <c r="L167">
        <v>5</v>
      </c>
      <c r="M167" t="s">
        <v>35</v>
      </c>
      <c r="N167" t="s">
        <v>33</v>
      </c>
      <c r="O167">
        <v>3</v>
      </c>
      <c r="P167" t="s">
        <v>36</v>
      </c>
    </row>
    <row r="168" spans="1:16">
      <c r="A168" t="s">
        <v>255</v>
      </c>
      <c r="B168">
        <v>46202.646192129629</v>
      </c>
      <c r="C168">
        <v>46202.731911087962</v>
      </c>
      <c r="D168">
        <v>46203.602440810188</v>
      </c>
      <c r="E168" t="s">
        <v>75</v>
      </c>
      <c r="F168" t="s">
        <v>5</v>
      </c>
      <c r="G168" t="s">
        <v>94</v>
      </c>
      <c r="H168" t="s">
        <v>80</v>
      </c>
      <c r="I168" t="s">
        <v>73</v>
      </c>
      <c r="J168" t="s">
        <v>12</v>
      </c>
      <c r="K168" t="s">
        <v>68</v>
      </c>
      <c r="L168">
        <v>5</v>
      </c>
      <c r="M168" t="s">
        <v>13</v>
      </c>
      <c r="N168" t="s">
        <v>14</v>
      </c>
      <c r="O168">
        <v>4.2</v>
      </c>
      <c r="P168" t="s">
        <v>15</v>
      </c>
    </row>
    <row r="169" spans="1:16">
      <c r="A169" t="s">
        <v>256</v>
      </c>
      <c r="B169">
        <v>46183.35292824074</v>
      </c>
      <c r="C169">
        <v>46183.481110555556</v>
      </c>
      <c r="D169">
        <v>46183.891462847219</v>
      </c>
      <c r="E169" t="s">
        <v>70</v>
      </c>
      <c r="F169" t="s">
        <v>5</v>
      </c>
      <c r="G169" t="s">
        <v>76</v>
      </c>
      <c r="H169" t="s">
        <v>109</v>
      </c>
      <c r="I169" t="s">
        <v>73</v>
      </c>
      <c r="J169" t="s">
        <v>40</v>
      </c>
      <c r="K169" t="s">
        <v>68</v>
      </c>
      <c r="L169">
        <v>4</v>
      </c>
      <c r="M169" t="s">
        <v>41</v>
      </c>
      <c r="N169" t="s">
        <v>27</v>
      </c>
      <c r="O169">
        <v>4.8</v>
      </c>
      <c r="P169" t="s">
        <v>39</v>
      </c>
    </row>
    <row r="170" spans="1:16">
      <c r="A170" t="s">
        <v>257</v>
      </c>
      <c r="B170">
        <v>46175.28497685185</v>
      </c>
      <c r="C170">
        <v>46175.490990092592</v>
      </c>
      <c r="D170">
        <v>46175.718363738422</v>
      </c>
      <c r="E170" t="s">
        <v>70</v>
      </c>
      <c r="F170" t="s">
        <v>5</v>
      </c>
      <c r="G170" t="s">
        <v>76</v>
      </c>
      <c r="H170" t="s">
        <v>106</v>
      </c>
      <c r="I170" t="s">
        <v>73</v>
      </c>
      <c r="J170" t="s">
        <v>25</v>
      </c>
      <c r="K170" t="s">
        <v>68</v>
      </c>
      <c r="L170">
        <v>4</v>
      </c>
      <c r="M170" t="s">
        <v>26</v>
      </c>
      <c r="N170" t="s">
        <v>27</v>
      </c>
      <c r="O170">
        <v>6.3</v>
      </c>
      <c r="P170" t="s">
        <v>15</v>
      </c>
    </row>
    <row r="171" spans="1:16">
      <c r="A171" t="s">
        <v>258</v>
      </c>
      <c r="B171">
        <v>46114.953703703701</v>
      </c>
      <c r="C171">
        <v>46114.963287395833</v>
      </c>
      <c r="D171">
        <v>46115.208852754629</v>
      </c>
      <c r="E171" t="s">
        <v>75</v>
      </c>
      <c r="F171" t="s">
        <v>3</v>
      </c>
      <c r="G171" t="s">
        <v>76</v>
      </c>
      <c r="H171" t="s">
        <v>109</v>
      </c>
      <c r="I171" t="s">
        <v>92</v>
      </c>
      <c r="J171" t="s">
        <v>25</v>
      </c>
      <c r="K171" t="s">
        <v>68</v>
      </c>
      <c r="L171">
        <v>3</v>
      </c>
      <c r="M171" t="s">
        <v>26</v>
      </c>
      <c r="N171" t="s">
        <v>27</v>
      </c>
      <c r="O171">
        <v>6.3</v>
      </c>
      <c r="P171" t="s">
        <v>15</v>
      </c>
    </row>
    <row r="172" spans="1:16">
      <c r="A172" t="s">
        <v>259</v>
      </c>
      <c r="B172">
        <v>46121.449803240743</v>
      </c>
      <c r="C172">
        <v>46121.611884976854</v>
      </c>
      <c r="D172">
        <v>46122.56442023148</v>
      </c>
      <c r="E172" t="s">
        <v>75</v>
      </c>
      <c r="F172" t="s">
        <v>5</v>
      </c>
      <c r="G172" t="s">
        <v>79</v>
      </c>
      <c r="H172" t="s">
        <v>84</v>
      </c>
      <c r="I172" t="s">
        <v>73</v>
      </c>
      <c r="J172" t="s">
        <v>12</v>
      </c>
      <c r="K172" t="s">
        <v>68</v>
      </c>
      <c r="L172">
        <v>4</v>
      </c>
      <c r="M172" t="s">
        <v>13</v>
      </c>
      <c r="N172" t="s">
        <v>14</v>
      </c>
      <c r="O172">
        <v>4.2</v>
      </c>
      <c r="P172" t="s">
        <v>15</v>
      </c>
    </row>
    <row r="173" spans="1:16">
      <c r="A173" t="s">
        <v>260</v>
      </c>
      <c r="B173">
        <v>46136.50271990741</v>
      </c>
      <c r="C173">
        <v>46136.510648715281</v>
      </c>
      <c r="D173">
        <v>46136.552899548609</v>
      </c>
      <c r="E173" t="s">
        <v>75</v>
      </c>
      <c r="F173" t="s">
        <v>3</v>
      </c>
      <c r="G173" t="s">
        <v>65</v>
      </c>
      <c r="H173" t="s">
        <v>80</v>
      </c>
      <c r="I173" t="s">
        <v>89</v>
      </c>
      <c r="J173" t="s">
        <v>23</v>
      </c>
      <c r="K173" t="s">
        <v>68</v>
      </c>
      <c r="L173">
        <v>5</v>
      </c>
      <c r="M173" t="s">
        <v>24</v>
      </c>
      <c r="N173" t="s">
        <v>21</v>
      </c>
      <c r="O173">
        <v>3.4</v>
      </c>
      <c r="P173" t="s">
        <v>22</v>
      </c>
    </row>
    <row r="174" spans="1:16">
      <c r="A174" t="s">
        <v>261</v>
      </c>
      <c r="B174">
        <v>46184.494340277779</v>
      </c>
      <c r="C174">
        <v>46184.66834246528</v>
      </c>
      <c r="D174">
        <v>46185.371906898145</v>
      </c>
      <c r="E174" t="s">
        <v>75</v>
      </c>
      <c r="F174" t="s">
        <v>6</v>
      </c>
      <c r="G174" t="s">
        <v>98</v>
      </c>
      <c r="H174" t="s">
        <v>106</v>
      </c>
      <c r="I174" t="s">
        <v>73</v>
      </c>
      <c r="J174" t="s">
        <v>12</v>
      </c>
      <c r="K174" t="s">
        <v>68</v>
      </c>
      <c r="L174">
        <v>3</v>
      </c>
      <c r="M174" t="s">
        <v>13</v>
      </c>
      <c r="N174" t="s">
        <v>14</v>
      </c>
      <c r="O174">
        <v>4.2</v>
      </c>
      <c r="P174" t="s">
        <v>15</v>
      </c>
    </row>
    <row r="175" spans="1:16">
      <c r="A175" t="s">
        <v>262</v>
      </c>
      <c r="B175">
        <v>46138.102638888886</v>
      </c>
      <c r="C175">
        <v>46138.163831909726</v>
      </c>
      <c r="D175">
        <v>46140.68686603009</v>
      </c>
      <c r="E175" t="s">
        <v>75</v>
      </c>
      <c r="F175" t="s">
        <v>6</v>
      </c>
      <c r="G175" t="s">
        <v>105</v>
      </c>
      <c r="H175" t="s">
        <v>80</v>
      </c>
      <c r="I175" t="s">
        <v>67</v>
      </c>
      <c r="J175" t="s">
        <v>44</v>
      </c>
      <c r="K175" t="s">
        <v>68</v>
      </c>
      <c r="L175">
        <v>3</v>
      </c>
      <c r="M175" t="s">
        <v>45</v>
      </c>
      <c r="N175" t="s">
        <v>33</v>
      </c>
      <c r="O175">
        <v>5.0999999999999996</v>
      </c>
      <c r="P175" t="s">
        <v>30</v>
      </c>
    </row>
    <row r="176" spans="1:16">
      <c r="A176" t="s">
        <v>263</v>
      </c>
      <c r="B176">
        <v>46168.823969907404</v>
      </c>
      <c r="C176">
        <v>46168.87031888889</v>
      </c>
      <c r="D176">
        <v>46168.973653912035</v>
      </c>
      <c r="E176" t="s">
        <v>75</v>
      </c>
      <c r="F176" t="s">
        <v>5</v>
      </c>
      <c r="G176" t="s">
        <v>94</v>
      </c>
      <c r="H176" t="s">
        <v>84</v>
      </c>
      <c r="I176" t="s">
        <v>67</v>
      </c>
      <c r="J176" t="s">
        <v>12</v>
      </c>
      <c r="K176" t="s">
        <v>85</v>
      </c>
      <c r="L176">
        <v>5</v>
      </c>
      <c r="M176" t="s">
        <v>13</v>
      </c>
      <c r="N176" t="s">
        <v>14</v>
      </c>
      <c r="O176">
        <v>4.2</v>
      </c>
      <c r="P176" t="s">
        <v>15</v>
      </c>
    </row>
    <row r="177" spans="1:16">
      <c r="A177" t="s">
        <v>264</v>
      </c>
      <c r="B177">
        <v>46132.816562499997</v>
      </c>
      <c r="C177">
        <v>46133.220398437501</v>
      </c>
      <c r="D177">
        <v>46134.155666828701</v>
      </c>
      <c r="E177" t="s">
        <v>70</v>
      </c>
      <c r="F177" t="s">
        <v>5</v>
      </c>
      <c r="G177" t="s">
        <v>79</v>
      </c>
      <c r="H177" t="s">
        <v>66</v>
      </c>
      <c r="I177" t="s">
        <v>73</v>
      </c>
      <c r="J177" t="s">
        <v>37</v>
      </c>
      <c r="K177" t="s">
        <v>85</v>
      </c>
      <c r="L177">
        <v>2</v>
      </c>
      <c r="M177" t="s">
        <v>38</v>
      </c>
      <c r="N177" t="s">
        <v>14</v>
      </c>
      <c r="O177">
        <v>1.2</v>
      </c>
      <c r="P177" t="s">
        <v>39</v>
      </c>
    </row>
    <row r="178" spans="1:16">
      <c r="A178" t="s">
        <v>265</v>
      </c>
      <c r="B178">
        <v>46180.661689814813</v>
      </c>
      <c r="C178">
        <v>46180.742901504629</v>
      </c>
      <c r="D178">
        <v>46181.238129861114</v>
      </c>
      <c r="E178" t="s">
        <v>70</v>
      </c>
      <c r="F178" t="s">
        <v>6</v>
      </c>
      <c r="G178" t="s">
        <v>98</v>
      </c>
      <c r="H178" t="s">
        <v>72</v>
      </c>
      <c r="I178" t="s">
        <v>67</v>
      </c>
      <c r="J178" t="s">
        <v>12</v>
      </c>
      <c r="K178" t="s">
        <v>68</v>
      </c>
      <c r="L178">
        <v>4</v>
      </c>
      <c r="M178" t="s">
        <v>13</v>
      </c>
      <c r="N178" t="s">
        <v>14</v>
      </c>
      <c r="O178">
        <v>4.2</v>
      </c>
      <c r="P178" t="s">
        <v>15</v>
      </c>
    </row>
    <row r="179" spans="1:16">
      <c r="A179" t="s">
        <v>266</v>
      </c>
      <c r="B179">
        <v>46122.365324074075</v>
      </c>
      <c r="C179">
        <v>46122.371235763887</v>
      </c>
      <c r="D179">
        <v>46122.444312604166</v>
      </c>
      <c r="E179" t="s">
        <v>75</v>
      </c>
      <c r="F179" t="s">
        <v>3</v>
      </c>
      <c r="G179" t="s">
        <v>65</v>
      </c>
      <c r="H179" t="s">
        <v>72</v>
      </c>
      <c r="I179" t="s">
        <v>92</v>
      </c>
      <c r="J179" t="s">
        <v>42</v>
      </c>
      <c r="K179" t="s">
        <v>68</v>
      </c>
      <c r="L179">
        <v>5</v>
      </c>
      <c r="M179" t="s">
        <v>43</v>
      </c>
      <c r="N179" t="s">
        <v>21</v>
      </c>
      <c r="O179">
        <v>2.7</v>
      </c>
      <c r="P179" t="s">
        <v>36</v>
      </c>
    </row>
    <row r="180" spans="1:16">
      <c r="A180" t="s">
        <v>267</v>
      </c>
      <c r="B180">
        <v>46126.023842592593</v>
      </c>
      <c r="C180">
        <v>46126.054024166668</v>
      </c>
      <c r="D180">
        <v>46126.31120074074</v>
      </c>
      <c r="E180" t="s">
        <v>75</v>
      </c>
      <c r="F180" t="s">
        <v>4</v>
      </c>
      <c r="G180" t="s">
        <v>79</v>
      </c>
      <c r="H180" t="s">
        <v>72</v>
      </c>
      <c r="I180" t="s">
        <v>67</v>
      </c>
      <c r="J180" t="s">
        <v>16</v>
      </c>
      <c r="K180" t="s">
        <v>68</v>
      </c>
      <c r="L180">
        <v>5</v>
      </c>
      <c r="M180" t="s">
        <v>17</v>
      </c>
      <c r="N180" t="s">
        <v>14</v>
      </c>
      <c r="O180">
        <v>2.1</v>
      </c>
      <c r="P180" t="s">
        <v>18</v>
      </c>
    </row>
    <row r="181" spans="1:16">
      <c r="A181" t="s">
        <v>268</v>
      </c>
      <c r="B181">
        <v>46157.210127314815</v>
      </c>
      <c r="C181">
        <v>46157.23040226852</v>
      </c>
      <c r="D181">
        <v>46157.521484282406</v>
      </c>
      <c r="E181" t="s">
        <v>75</v>
      </c>
      <c r="F181" t="s">
        <v>4</v>
      </c>
      <c r="G181" t="s">
        <v>79</v>
      </c>
      <c r="H181" t="s">
        <v>80</v>
      </c>
      <c r="I181" t="s">
        <v>67</v>
      </c>
      <c r="J181" t="s">
        <v>12</v>
      </c>
      <c r="K181" t="s">
        <v>68</v>
      </c>
      <c r="L181">
        <v>5</v>
      </c>
      <c r="M181" t="s">
        <v>13</v>
      </c>
      <c r="N181" t="s">
        <v>14</v>
      </c>
      <c r="O181">
        <v>4.2</v>
      </c>
      <c r="P181" t="s">
        <v>15</v>
      </c>
    </row>
    <row r="182" spans="1:16">
      <c r="A182" t="s">
        <v>269</v>
      </c>
      <c r="B182">
        <v>46118.085960648146</v>
      </c>
      <c r="C182">
        <v>46118.124546527775</v>
      </c>
      <c r="D182">
        <v>46118.461152638891</v>
      </c>
      <c r="E182" t="s">
        <v>70</v>
      </c>
      <c r="F182" t="s">
        <v>4</v>
      </c>
      <c r="G182" t="s">
        <v>105</v>
      </c>
      <c r="H182" t="s">
        <v>109</v>
      </c>
      <c r="I182" t="s">
        <v>67</v>
      </c>
      <c r="J182" t="s">
        <v>31</v>
      </c>
      <c r="K182" t="s">
        <v>68</v>
      </c>
      <c r="L182">
        <v>4</v>
      </c>
      <c r="M182" t="s">
        <v>32</v>
      </c>
      <c r="N182" t="s">
        <v>33</v>
      </c>
      <c r="O182">
        <v>7.1</v>
      </c>
      <c r="P182" t="s">
        <v>18</v>
      </c>
    </row>
    <row r="183" spans="1:16">
      <c r="A183" t="s">
        <v>270</v>
      </c>
      <c r="B183">
        <v>46132.570138888892</v>
      </c>
      <c r="C183">
        <v>46132.623591979165</v>
      </c>
      <c r="D183">
        <v>46133.500741469907</v>
      </c>
      <c r="E183" t="s">
        <v>70</v>
      </c>
      <c r="F183" t="s">
        <v>5</v>
      </c>
      <c r="G183" t="s">
        <v>98</v>
      </c>
      <c r="H183" t="s">
        <v>80</v>
      </c>
      <c r="I183" t="s">
        <v>92</v>
      </c>
      <c r="J183" t="s">
        <v>37</v>
      </c>
      <c r="K183" t="s">
        <v>68</v>
      </c>
      <c r="L183">
        <v>5</v>
      </c>
      <c r="M183" t="s">
        <v>38</v>
      </c>
      <c r="N183" t="s">
        <v>14</v>
      </c>
      <c r="O183">
        <v>1.2</v>
      </c>
      <c r="P183" t="s">
        <v>39</v>
      </c>
    </row>
    <row r="184" spans="1:16">
      <c r="A184" t="s">
        <v>271</v>
      </c>
      <c r="B184">
        <v>46203.057615740741</v>
      </c>
      <c r="C184">
        <v>46203.341280381945</v>
      </c>
      <c r="D184">
        <v>46206.114563703704</v>
      </c>
      <c r="E184" t="s">
        <v>75</v>
      </c>
      <c r="F184" t="s">
        <v>6</v>
      </c>
      <c r="G184" t="s">
        <v>76</v>
      </c>
      <c r="H184" t="s">
        <v>77</v>
      </c>
      <c r="I184" t="s">
        <v>73</v>
      </c>
      <c r="J184" t="s">
        <v>28</v>
      </c>
      <c r="K184" t="s">
        <v>68</v>
      </c>
      <c r="L184">
        <v>4</v>
      </c>
      <c r="M184" t="s">
        <v>29</v>
      </c>
      <c r="N184" t="s">
        <v>27</v>
      </c>
      <c r="O184">
        <v>1.8</v>
      </c>
      <c r="P184" t="s">
        <v>30</v>
      </c>
    </row>
    <row r="185" spans="1:16">
      <c r="A185" t="s">
        <v>272</v>
      </c>
      <c r="B185">
        <v>46173.235868055555</v>
      </c>
      <c r="C185">
        <v>46173.269076585646</v>
      </c>
      <c r="D185">
        <v>46173.833989155093</v>
      </c>
      <c r="E185" t="s">
        <v>70</v>
      </c>
      <c r="F185" t="s">
        <v>4</v>
      </c>
      <c r="G185" t="s">
        <v>79</v>
      </c>
      <c r="H185" t="s">
        <v>77</v>
      </c>
      <c r="I185" t="s">
        <v>73</v>
      </c>
      <c r="J185" t="s">
        <v>16</v>
      </c>
      <c r="K185" t="s">
        <v>68</v>
      </c>
      <c r="L185">
        <v>4</v>
      </c>
      <c r="M185" t="s">
        <v>17</v>
      </c>
      <c r="N185" t="s">
        <v>14</v>
      </c>
      <c r="O185">
        <v>2.1</v>
      </c>
      <c r="P185" t="s">
        <v>18</v>
      </c>
    </row>
    <row r="186" spans="1:16">
      <c r="A186" t="s">
        <v>273</v>
      </c>
      <c r="B186">
        <v>46182.59474537037</v>
      </c>
      <c r="C186">
        <v>46182.684859293979</v>
      </c>
      <c r="D186">
        <v>46183.100927662039</v>
      </c>
      <c r="E186" t="s">
        <v>70</v>
      </c>
      <c r="F186" t="s">
        <v>5</v>
      </c>
      <c r="G186" t="s">
        <v>94</v>
      </c>
      <c r="H186" t="s">
        <v>106</v>
      </c>
      <c r="I186" t="s">
        <v>89</v>
      </c>
      <c r="J186" t="s">
        <v>16</v>
      </c>
      <c r="K186" t="s">
        <v>85</v>
      </c>
      <c r="L186">
        <v>4</v>
      </c>
      <c r="M186" t="s">
        <v>17</v>
      </c>
      <c r="N186" t="s">
        <v>14</v>
      </c>
      <c r="O186">
        <v>2.1</v>
      </c>
      <c r="P186" t="s">
        <v>18</v>
      </c>
    </row>
    <row r="187" spans="1:16">
      <c r="A187" t="s">
        <v>274</v>
      </c>
      <c r="B187">
        <v>46159.129340277781</v>
      </c>
      <c r="C187">
        <v>46159.200566226849</v>
      </c>
      <c r="D187">
        <v>46161.128771249998</v>
      </c>
      <c r="E187" t="s">
        <v>70</v>
      </c>
      <c r="F187" t="s">
        <v>5</v>
      </c>
      <c r="G187" t="s">
        <v>71</v>
      </c>
      <c r="H187" t="s">
        <v>84</v>
      </c>
      <c r="I187" t="s">
        <v>73</v>
      </c>
      <c r="J187" t="s">
        <v>25</v>
      </c>
      <c r="K187" t="s">
        <v>68</v>
      </c>
      <c r="L187">
        <v>4</v>
      </c>
      <c r="M187" t="s">
        <v>26</v>
      </c>
      <c r="N187" t="s">
        <v>27</v>
      </c>
      <c r="O187">
        <v>6.3</v>
      </c>
      <c r="P187" t="s">
        <v>15</v>
      </c>
    </row>
    <row r="188" spans="1:16">
      <c r="A188" t="s">
        <v>275</v>
      </c>
      <c r="B188">
        <v>46194.813726851855</v>
      </c>
      <c r="C188">
        <v>46194.82871144676</v>
      </c>
      <c r="D188">
        <v>46195.083844456021</v>
      </c>
      <c r="E188" t="s">
        <v>75</v>
      </c>
      <c r="F188" t="s">
        <v>3</v>
      </c>
      <c r="G188" t="s">
        <v>83</v>
      </c>
      <c r="H188" t="s">
        <v>106</v>
      </c>
      <c r="I188" t="s">
        <v>89</v>
      </c>
      <c r="J188" t="s">
        <v>31</v>
      </c>
      <c r="K188" t="s">
        <v>85</v>
      </c>
      <c r="L188">
        <v>3</v>
      </c>
      <c r="M188" t="s">
        <v>32</v>
      </c>
      <c r="N188" t="s">
        <v>33</v>
      </c>
      <c r="O188">
        <v>7.1</v>
      </c>
      <c r="P188" t="s">
        <v>18</v>
      </c>
    </row>
    <row r="189" spans="1:16">
      <c r="A189" t="s">
        <v>276</v>
      </c>
      <c r="B189">
        <v>46135.918819444443</v>
      </c>
      <c r="C189">
        <v>46135.930105740743</v>
      </c>
      <c r="E189" t="s">
        <v>64</v>
      </c>
      <c r="F189" t="s">
        <v>3</v>
      </c>
      <c r="G189" t="s">
        <v>76</v>
      </c>
      <c r="H189" t="s">
        <v>109</v>
      </c>
      <c r="I189" t="s">
        <v>92</v>
      </c>
      <c r="J189" t="s">
        <v>28</v>
      </c>
      <c r="K189" t="s">
        <v>68</v>
      </c>
      <c r="M189" t="s">
        <v>29</v>
      </c>
      <c r="N189" t="s">
        <v>27</v>
      </c>
      <c r="O189">
        <v>1.8</v>
      </c>
      <c r="P189" t="s">
        <v>30</v>
      </c>
    </row>
    <row r="190" spans="1:16">
      <c r="A190" t="s">
        <v>277</v>
      </c>
      <c r="B190">
        <v>46188.516863425924</v>
      </c>
      <c r="C190">
        <v>46188.547748379628</v>
      </c>
      <c r="D190">
        <v>46188.656847453705</v>
      </c>
      <c r="E190" t="s">
        <v>70</v>
      </c>
      <c r="F190" t="s">
        <v>4</v>
      </c>
      <c r="G190" t="s">
        <v>65</v>
      </c>
      <c r="H190" t="s">
        <v>80</v>
      </c>
      <c r="I190" t="s">
        <v>89</v>
      </c>
      <c r="J190" t="s">
        <v>23</v>
      </c>
      <c r="K190" t="s">
        <v>68</v>
      </c>
      <c r="L190">
        <v>4</v>
      </c>
      <c r="M190" t="s">
        <v>24</v>
      </c>
      <c r="N190" t="s">
        <v>21</v>
      </c>
      <c r="O190">
        <v>3.4</v>
      </c>
      <c r="P190" t="s">
        <v>22</v>
      </c>
    </row>
    <row r="191" spans="1:16">
      <c r="A191" t="s">
        <v>278</v>
      </c>
      <c r="B191">
        <v>46144.138495370367</v>
      </c>
      <c r="C191">
        <v>46144.352101550925</v>
      </c>
      <c r="D191">
        <v>46145.249555555558</v>
      </c>
      <c r="E191" t="s">
        <v>75</v>
      </c>
      <c r="F191" t="s">
        <v>6</v>
      </c>
      <c r="G191" t="s">
        <v>65</v>
      </c>
      <c r="H191" t="s">
        <v>106</v>
      </c>
      <c r="I191" t="s">
        <v>89</v>
      </c>
      <c r="J191" t="s">
        <v>42</v>
      </c>
      <c r="K191" t="s">
        <v>68</v>
      </c>
      <c r="L191">
        <v>4</v>
      </c>
      <c r="M191" t="s">
        <v>43</v>
      </c>
      <c r="N191" t="s">
        <v>21</v>
      </c>
      <c r="O191">
        <v>2.7</v>
      </c>
      <c r="P191" t="s">
        <v>36</v>
      </c>
    </row>
    <row r="192" spans="1:16">
      <c r="A192" t="s">
        <v>279</v>
      </c>
      <c r="B192">
        <v>46168.950069444443</v>
      </c>
      <c r="C192">
        <v>46169.090236782409</v>
      </c>
      <c r="D192">
        <v>46170.809790740743</v>
      </c>
      <c r="E192" t="s">
        <v>75</v>
      </c>
      <c r="F192" t="s">
        <v>6</v>
      </c>
      <c r="G192" t="s">
        <v>94</v>
      </c>
      <c r="H192" t="s">
        <v>109</v>
      </c>
      <c r="I192" t="s">
        <v>89</v>
      </c>
      <c r="J192" t="s">
        <v>37</v>
      </c>
      <c r="K192" t="s">
        <v>68</v>
      </c>
      <c r="L192">
        <v>5</v>
      </c>
      <c r="M192" t="s">
        <v>38</v>
      </c>
      <c r="N192" t="s">
        <v>14</v>
      </c>
      <c r="O192">
        <v>1.2</v>
      </c>
      <c r="P192" t="s">
        <v>39</v>
      </c>
    </row>
    <row r="193" spans="1:16">
      <c r="A193" t="s">
        <v>280</v>
      </c>
      <c r="B193">
        <v>46175.384039351855</v>
      </c>
      <c r="C193">
        <v>46175.4023259838</v>
      </c>
      <c r="D193">
        <v>46175.539116423613</v>
      </c>
      <c r="E193" t="s">
        <v>70</v>
      </c>
      <c r="F193" t="s">
        <v>4</v>
      </c>
      <c r="G193" t="s">
        <v>105</v>
      </c>
      <c r="H193" t="s">
        <v>88</v>
      </c>
      <c r="I193" t="s">
        <v>73</v>
      </c>
      <c r="J193" t="s">
        <v>31</v>
      </c>
      <c r="K193" t="s">
        <v>68</v>
      </c>
      <c r="L193">
        <v>5</v>
      </c>
      <c r="M193" t="s">
        <v>32</v>
      </c>
      <c r="N193" t="s">
        <v>33</v>
      </c>
      <c r="O193">
        <v>7.1</v>
      </c>
      <c r="P193" t="s">
        <v>18</v>
      </c>
    </row>
    <row r="194" spans="1:16">
      <c r="A194" t="s">
        <v>281</v>
      </c>
      <c r="B194">
        <v>46150.102673611109</v>
      </c>
      <c r="C194">
        <v>46150.164147719908</v>
      </c>
      <c r="D194">
        <v>46151.077186817129</v>
      </c>
      <c r="E194" t="s">
        <v>70</v>
      </c>
      <c r="F194" t="s">
        <v>5</v>
      </c>
      <c r="G194" t="s">
        <v>94</v>
      </c>
      <c r="H194" t="s">
        <v>66</v>
      </c>
      <c r="I194" t="s">
        <v>73</v>
      </c>
      <c r="J194" t="s">
        <v>16</v>
      </c>
      <c r="K194" t="s">
        <v>68</v>
      </c>
      <c r="L194">
        <v>4</v>
      </c>
      <c r="M194" t="s">
        <v>17</v>
      </c>
      <c r="N194" t="s">
        <v>14</v>
      </c>
      <c r="O194">
        <v>2.1</v>
      </c>
      <c r="P194" t="s">
        <v>18</v>
      </c>
    </row>
    <row r="195" spans="1:16">
      <c r="A195" t="s">
        <v>282</v>
      </c>
      <c r="B195">
        <v>46200.056990740741</v>
      </c>
      <c r="C195">
        <v>46200.066643229169</v>
      </c>
      <c r="D195">
        <v>46200.311291828701</v>
      </c>
      <c r="E195" t="s">
        <v>75</v>
      </c>
      <c r="F195" t="s">
        <v>3</v>
      </c>
      <c r="G195" t="s">
        <v>71</v>
      </c>
      <c r="H195" t="s">
        <v>84</v>
      </c>
      <c r="I195" t="s">
        <v>92</v>
      </c>
      <c r="J195" t="s">
        <v>40</v>
      </c>
      <c r="K195" t="s">
        <v>68</v>
      </c>
      <c r="L195">
        <v>5</v>
      </c>
      <c r="M195" t="s">
        <v>41</v>
      </c>
      <c r="N195" t="s">
        <v>27</v>
      </c>
      <c r="O195">
        <v>4.8</v>
      </c>
      <c r="P195" t="s">
        <v>39</v>
      </c>
    </row>
    <row r="196" spans="1:16">
      <c r="A196" t="s">
        <v>283</v>
      </c>
      <c r="B196">
        <v>46136.396979166668</v>
      </c>
      <c r="C196">
        <v>46136.4355946875</v>
      </c>
      <c r="D196">
        <v>46136.54290699074</v>
      </c>
      <c r="E196" t="s">
        <v>75</v>
      </c>
      <c r="F196" t="s">
        <v>4</v>
      </c>
      <c r="G196" t="s">
        <v>65</v>
      </c>
      <c r="H196" t="s">
        <v>77</v>
      </c>
      <c r="I196" t="s">
        <v>73</v>
      </c>
      <c r="J196" t="s">
        <v>42</v>
      </c>
      <c r="K196" t="s">
        <v>68</v>
      </c>
      <c r="L196">
        <v>4</v>
      </c>
      <c r="M196" t="s">
        <v>43</v>
      </c>
      <c r="N196" t="s">
        <v>21</v>
      </c>
      <c r="O196">
        <v>2.7</v>
      </c>
      <c r="P196" t="s">
        <v>36</v>
      </c>
    </row>
    <row r="197" spans="1:16">
      <c r="A197" t="s">
        <v>284</v>
      </c>
      <c r="B197">
        <v>46189.537280092591</v>
      </c>
      <c r="C197">
        <v>46189.632046226849</v>
      </c>
      <c r="E197" t="s">
        <v>132</v>
      </c>
      <c r="F197" t="s">
        <v>5</v>
      </c>
      <c r="G197" t="s">
        <v>94</v>
      </c>
      <c r="H197" t="s">
        <v>88</v>
      </c>
      <c r="I197" t="s">
        <v>89</v>
      </c>
      <c r="J197" t="s">
        <v>37</v>
      </c>
      <c r="K197" t="s">
        <v>68</v>
      </c>
      <c r="M197" t="s">
        <v>38</v>
      </c>
      <c r="N197" t="s">
        <v>14</v>
      </c>
      <c r="O197">
        <v>1.2</v>
      </c>
      <c r="P197" t="s">
        <v>39</v>
      </c>
    </row>
    <row r="198" spans="1:16">
      <c r="A198" t="s">
        <v>285</v>
      </c>
      <c r="B198">
        <v>46158.485972222225</v>
      </c>
      <c r="C198">
        <v>46158.854811921294</v>
      </c>
      <c r="D198">
        <v>46159.812934525464</v>
      </c>
      <c r="E198" t="s">
        <v>75</v>
      </c>
      <c r="F198" t="s">
        <v>6</v>
      </c>
      <c r="G198" t="s">
        <v>79</v>
      </c>
      <c r="H198" t="s">
        <v>109</v>
      </c>
      <c r="I198" t="s">
        <v>67</v>
      </c>
      <c r="J198" t="s">
        <v>37</v>
      </c>
      <c r="K198" t="s">
        <v>68</v>
      </c>
      <c r="L198">
        <v>4</v>
      </c>
      <c r="M198" t="s">
        <v>38</v>
      </c>
      <c r="N198" t="s">
        <v>14</v>
      </c>
      <c r="O198">
        <v>1.2</v>
      </c>
      <c r="P198" t="s">
        <v>39</v>
      </c>
    </row>
    <row r="199" spans="1:16">
      <c r="A199" t="s">
        <v>286</v>
      </c>
      <c r="B199">
        <v>46194.966631944444</v>
      </c>
      <c r="C199">
        <v>46195.074126261577</v>
      </c>
      <c r="D199">
        <v>46195.666688310186</v>
      </c>
      <c r="E199" t="s">
        <v>75</v>
      </c>
      <c r="F199" t="s">
        <v>5</v>
      </c>
      <c r="G199" t="s">
        <v>94</v>
      </c>
      <c r="H199" t="s">
        <v>77</v>
      </c>
      <c r="I199" t="s">
        <v>92</v>
      </c>
      <c r="J199" t="s">
        <v>37</v>
      </c>
      <c r="K199" t="s">
        <v>68</v>
      </c>
      <c r="L199">
        <v>5</v>
      </c>
      <c r="M199" t="s">
        <v>38</v>
      </c>
      <c r="N199" t="s">
        <v>14</v>
      </c>
      <c r="O199">
        <v>1.2</v>
      </c>
      <c r="P199" t="s">
        <v>39</v>
      </c>
    </row>
    <row r="200" spans="1:16">
      <c r="A200" t="s">
        <v>287</v>
      </c>
      <c r="B200">
        <v>46130.118206018517</v>
      </c>
      <c r="C200">
        <v>46130.124701527777</v>
      </c>
      <c r="D200">
        <v>46130.189478252316</v>
      </c>
      <c r="E200" t="s">
        <v>75</v>
      </c>
      <c r="F200" t="s">
        <v>3</v>
      </c>
      <c r="G200" t="s">
        <v>83</v>
      </c>
      <c r="H200" t="s">
        <v>66</v>
      </c>
      <c r="I200" t="s">
        <v>73</v>
      </c>
      <c r="J200" t="s">
        <v>31</v>
      </c>
      <c r="K200" t="s">
        <v>68</v>
      </c>
      <c r="L200">
        <v>5</v>
      </c>
      <c r="M200" t="s">
        <v>32</v>
      </c>
      <c r="N200" t="s">
        <v>33</v>
      </c>
      <c r="O200">
        <v>7.1</v>
      </c>
      <c r="P200" t="s">
        <v>18</v>
      </c>
    </row>
    <row r="201" spans="1:16">
      <c r="A201" t="s">
        <v>288</v>
      </c>
      <c r="B201">
        <v>46166.932476851849</v>
      </c>
      <c r="C201">
        <v>46166.952622974539</v>
      </c>
      <c r="D201">
        <v>46167.987341446758</v>
      </c>
      <c r="E201" t="s">
        <v>70</v>
      </c>
      <c r="F201" t="s">
        <v>4</v>
      </c>
      <c r="G201" t="s">
        <v>79</v>
      </c>
      <c r="H201" t="s">
        <v>109</v>
      </c>
      <c r="I201" t="s">
        <v>73</v>
      </c>
      <c r="J201" t="s">
        <v>16</v>
      </c>
      <c r="K201" t="s">
        <v>68</v>
      </c>
      <c r="L201">
        <v>4</v>
      </c>
      <c r="M201" t="s">
        <v>17</v>
      </c>
      <c r="N201" t="s">
        <v>14</v>
      </c>
      <c r="O201">
        <v>2.1</v>
      </c>
      <c r="P201" t="s">
        <v>18</v>
      </c>
    </row>
    <row r="202" spans="1:16">
      <c r="A202" t="s">
        <v>289</v>
      </c>
      <c r="B202">
        <v>46168.87127314815</v>
      </c>
      <c r="C202">
        <v>46168.890478275462</v>
      </c>
      <c r="D202">
        <v>46168.937732407408</v>
      </c>
      <c r="E202" t="s">
        <v>75</v>
      </c>
      <c r="F202" t="s">
        <v>3</v>
      </c>
      <c r="G202" t="s">
        <v>76</v>
      </c>
      <c r="H202" t="s">
        <v>72</v>
      </c>
      <c r="I202" t="s">
        <v>89</v>
      </c>
      <c r="J202" t="s">
        <v>28</v>
      </c>
      <c r="K202" t="s">
        <v>68</v>
      </c>
      <c r="L202">
        <v>5</v>
      </c>
      <c r="M202" t="s">
        <v>29</v>
      </c>
      <c r="N202" t="s">
        <v>27</v>
      </c>
      <c r="O202">
        <v>1.8</v>
      </c>
      <c r="P202" t="s">
        <v>30</v>
      </c>
    </row>
    <row r="203" spans="1:16">
      <c r="A203" t="s">
        <v>290</v>
      </c>
      <c r="B203">
        <v>46139.410277777781</v>
      </c>
      <c r="C203">
        <v>46139.455723564817</v>
      </c>
      <c r="D203">
        <v>46139.495775787036</v>
      </c>
      <c r="E203" t="s">
        <v>75</v>
      </c>
      <c r="F203" t="s">
        <v>3</v>
      </c>
      <c r="G203" t="s">
        <v>83</v>
      </c>
      <c r="H203" t="s">
        <v>88</v>
      </c>
      <c r="I203" t="s">
        <v>67</v>
      </c>
      <c r="J203" t="s">
        <v>34</v>
      </c>
      <c r="K203" t="s">
        <v>68</v>
      </c>
      <c r="L203">
        <v>4</v>
      </c>
      <c r="M203" t="s">
        <v>35</v>
      </c>
      <c r="N203" t="s">
        <v>33</v>
      </c>
      <c r="O203">
        <v>3</v>
      </c>
      <c r="P203" t="s">
        <v>36</v>
      </c>
    </row>
    <row r="204" spans="1:16">
      <c r="A204" t="s">
        <v>291</v>
      </c>
      <c r="B204">
        <v>46156.219756944447</v>
      </c>
      <c r="C204">
        <v>46156.766988773146</v>
      </c>
      <c r="D204">
        <v>46157.366834733795</v>
      </c>
      <c r="E204" t="s">
        <v>75</v>
      </c>
      <c r="F204" t="s">
        <v>6</v>
      </c>
      <c r="G204" t="s">
        <v>79</v>
      </c>
      <c r="H204" t="s">
        <v>77</v>
      </c>
      <c r="I204" t="s">
        <v>67</v>
      </c>
      <c r="J204" t="s">
        <v>37</v>
      </c>
      <c r="K204" t="s">
        <v>68</v>
      </c>
      <c r="L204">
        <v>4</v>
      </c>
      <c r="M204" t="s">
        <v>38</v>
      </c>
      <c r="N204" t="s">
        <v>14</v>
      </c>
      <c r="O204">
        <v>1.2</v>
      </c>
      <c r="P204" t="s">
        <v>39</v>
      </c>
    </row>
    <row r="205" spans="1:16">
      <c r="A205" t="s">
        <v>292</v>
      </c>
      <c r="B205">
        <v>46198.708055555559</v>
      </c>
      <c r="C205">
        <v>46198.726452766205</v>
      </c>
      <c r="D205">
        <v>46198.872532453701</v>
      </c>
      <c r="E205" t="s">
        <v>75</v>
      </c>
      <c r="F205" t="s">
        <v>4</v>
      </c>
      <c r="G205" t="s">
        <v>71</v>
      </c>
      <c r="H205" t="s">
        <v>109</v>
      </c>
      <c r="I205" t="s">
        <v>73</v>
      </c>
      <c r="J205" t="s">
        <v>25</v>
      </c>
      <c r="K205" t="s">
        <v>68</v>
      </c>
      <c r="L205">
        <v>4</v>
      </c>
      <c r="M205" t="s">
        <v>26</v>
      </c>
      <c r="N205" t="s">
        <v>27</v>
      </c>
      <c r="O205">
        <v>6.3</v>
      </c>
      <c r="P205" t="s">
        <v>15</v>
      </c>
    </row>
    <row r="206" spans="1:16">
      <c r="A206" t="s">
        <v>293</v>
      </c>
      <c r="B206">
        <v>46160.789814814816</v>
      </c>
      <c r="C206">
        <v>46160.85131027778</v>
      </c>
      <c r="D206">
        <v>46161.131883113427</v>
      </c>
      <c r="E206" t="s">
        <v>70</v>
      </c>
      <c r="F206" t="s">
        <v>4</v>
      </c>
      <c r="G206" t="s">
        <v>76</v>
      </c>
      <c r="H206" t="s">
        <v>106</v>
      </c>
      <c r="I206" t="s">
        <v>73</v>
      </c>
      <c r="J206" t="s">
        <v>28</v>
      </c>
      <c r="K206" t="s">
        <v>68</v>
      </c>
      <c r="L206">
        <v>3</v>
      </c>
      <c r="M206" t="s">
        <v>29</v>
      </c>
      <c r="N206" t="s">
        <v>27</v>
      </c>
      <c r="O206">
        <v>1.8</v>
      </c>
      <c r="P206" t="s">
        <v>30</v>
      </c>
    </row>
    <row r="207" spans="1:16">
      <c r="A207" t="s">
        <v>294</v>
      </c>
      <c r="B207">
        <v>46176.187685185185</v>
      </c>
      <c r="C207">
        <v>46176.302954444443</v>
      </c>
      <c r="E207" t="s">
        <v>132</v>
      </c>
      <c r="F207" t="s">
        <v>4</v>
      </c>
      <c r="G207" t="s">
        <v>79</v>
      </c>
      <c r="H207" t="s">
        <v>72</v>
      </c>
      <c r="I207" t="s">
        <v>73</v>
      </c>
      <c r="J207" t="s">
        <v>37</v>
      </c>
      <c r="K207" t="s">
        <v>68</v>
      </c>
      <c r="M207" t="s">
        <v>38</v>
      </c>
      <c r="N207" t="s">
        <v>14</v>
      </c>
      <c r="O207">
        <v>1.2</v>
      </c>
      <c r="P207" t="s">
        <v>39</v>
      </c>
    </row>
    <row r="208" spans="1:16">
      <c r="A208" t="s">
        <v>295</v>
      </c>
      <c r="B208">
        <v>46172.397662037038</v>
      </c>
      <c r="C208">
        <v>46172.45494103009</v>
      </c>
      <c r="D208">
        <v>46172.577708287034</v>
      </c>
      <c r="E208" t="s">
        <v>75</v>
      </c>
      <c r="F208" t="s">
        <v>4</v>
      </c>
      <c r="G208" t="s">
        <v>105</v>
      </c>
      <c r="H208" t="s">
        <v>88</v>
      </c>
      <c r="I208" t="s">
        <v>92</v>
      </c>
      <c r="J208" t="s">
        <v>44</v>
      </c>
      <c r="K208" t="s">
        <v>68</v>
      </c>
      <c r="L208">
        <v>5</v>
      </c>
      <c r="M208" t="s">
        <v>45</v>
      </c>
      <c r="N208" t="s">
        <v>33</v>
      </c>
      <c r="O208">
        <v>5.0999999999999996</v>
      </c>
      <c r="P208" t="s">
        <v>30</v>
      </c>
    </row>
    <row r="209" spans="1:16">
      <c r="A209" t="s">
        <v>296</v>
      </c>
      <c r="B209">
        <v>46195.208078703705</v>
      </c>
      <c r="C209">
        <v>46195.313629965276</v>
      </c>
      <c r="D209">
        <v>46195.701780324074</v>
      </c>
      <c r="E209" t="s">
        <v>75</v>
      </c>
      <c r="F209" t="s">
        <v>5</v>
      </c>
      <c r="G209" t="s">
        <v>98</v>
      </c>
      <c r="H209" t="s">
        <v>88</v>
      </c>
      <c r="I209" t="s">
        <v>89</v>
      </c>
      <c r="J209" t="s">
        <v>37</v>
      </c>
      <c r="K209" t="s">
        <v>68</v>
      </c>
      <c r="L209">
        <v>5</v>
      </c>
      <c r="M209" t="s">
        <v>38</v>
      </c>
      <c r="N209" t="s">
        <v>14</v>
      </c>
      <c r="O209">
        <v>1.2</v>
      </c>
      <c r="P209" t="s">
        <v>39</v>
      </c>
    </row>
    <row r="210" spans="1:16">
      <c r="A210" t="s">
        <v>297</v>
      </c>
      <c r="B210">
        <v>46176.584444444445</v>
      </c>
      <c r="C210">
        <v>46176.644147361112</v>
      </c>
      <c r="D210">
        <v>46176.770560925928</v>
      </c>
      <c r="E210" t="s">
        <v>75</v>
      </c>
      <c r="F210" t="s">
        <v>4</v>
      </c>
      <c r="G210" t="s">
        <v>79</v>
      </c>
      <c r="H210" t="s">
        <v>109</v>
      </c>
      <c r="I210" t="s">
        <v>89</v>
      </c>
      <c r="J210" t="s">
        <v>12</v>
      </c>
      <c r="K210" t="s">
        <v>68</v>
      </c>
      <c r="L210">
        <v>3</v>
      </c>
      <c r="M210" t="s">
        <v>13</v>
      </c>
      <c r="N210" t="s">
        <v>14</v>
      </c>
      <c r="O210">
        <v>4.2</v>
      </c>
      <c r="P210" t="s">
        <v>15</v>
      </c>
    </row>
    <row r="211" spans="1:16">
      <c r="A211" t="s">
        <v>298</v>
      </c>
      <c r="B211">
        <v>46183.874328703707</v>
      </c>
      <c r="C211">
        <v>46183.968649907409</v>
      </c>
      <c r="D211">
        <v>46184.880757604165</v>
      </c>
      <c r="E211" t="s">
        <v>75</v>
      </c>
      <c r="F211" t="s">
        <v>5</v>
      </c>
      <c r="G211" t="s">
        <v>105</v>
      </c>
      <c r="H211" t="s">
        <v>77</v>
      </c>
      <c r="I211" t="s">
        <v>73</v>
      </c>
      <c r="J211" t="s">
        <v>44</v>
      </c>
      <c r="K211" t="s">
        <v>68</v>
      </c>
      <c r="L211">
        <v>4</v>
      </c>
      <c r="M211" t="s">
        <v>45</v>
      </c>
      <c r="N211" t="s">
        <v>33</v>
      </c>
      <c r="O211">
        <v>5.0999999999999996</v>
      </c>
      <c r="P211" t="s">
        <v>30</v>
      </c>
    </row>
    <row r="212" spans="1:16">
      <c r="A212" t="s">
        <v>299</v>
      </c>
      <c r="B212">
        <v>46183.741967592592</v>
      </c>
      <c r="C212">
        <v>46183.805478969909</v>
      </c>
      <c r="D212">
        <v>46184.009894872688</v>
      </c>
      <c r="E212" t="s">
        <v>75</v>
      </c>
      <c r="F212" t="s">
        <v>5</v>
      </c>
      <c r="G212" t="s">
        <v>105</v>
      </c>
      <c r="H212" t="s">
        <v>106</v>
      </c>
      <c r="I212" t="s">
        <v>73</v>
      </c>
      <c r="J212" t="s">
        <v>31</v>
      </c>
      <c r="K212" t="s">
        <v>68</v>
      </c>
      <c r="L212">
        <v>5</v>
      </c>
      <c r="M212" t="s">
        <v>32</v>
      </c>
      <c r="N212" t="s">
        <v>33</v>
      </c>
      <c r="O212">
        <v>7.1</v>
      </c>
      <c r="P212" t="s">
        <v>18</v>
      </c>
    </row>
    <row r="213" spans="1:16">
      <c r="A213" t="s">
        <v>300</v>
      </c>
      <c r="B213">
        <v>46197.451782407406</v>
      </c>
      <c r="C213">
        <v>46197.567124074078</v>
      </c>
      <c r="E213" t="s">
        <v>64</v>
      </c>
      <c r="F213" t="s">
        <v>5</v>
      </c>
      <c r="G213" t="s">
        <v>76</v>
      </c>
      <c r="H213" t="s">
        <v>80</v>
      </c>
      <c r="I213" t="s">
        <v>92</v>
      </c>
      <c r="J213" t="s">
        <v>40</v>
      </c>
      <c r="K213" t="s">
        <v>68</v>
      </c>
      <c r="M213" t="s">
        <v>41</v>
      </c>
      <c r="N213" t="s">
        <v>27</v>
      </c>
      <c r="O213">
        <v>4.8</v>
      </c>
      <c r="P213" t="s">
        <v>39</v>
      </c>
    </row>
    <row r="214" spans="1:16">
      <c r="A214" t="s">
        <v>301</v>
      </c>
      <c r="B214">
        <v>46126.670173611114</v>
      </c>
      <c r="C214">
        <v>46126.764613541665</v>
      </c>
      <c r="D214">
        <v>46126.992077893519</v>
      </c>
      <c r="E214" t="s">
        <v>75</v>
      </c>
      <c r="F214" t="s">
        <v>4</v>
      </c>
      <c r="G214" t="s">
        <v>83</v>
      </c>
      <c r="H214" t="s">
        <v>77</v>
      </c>
      <c r="I214" t="s">
        <v>73</v>
      </c>
      <c r="J214" t="s">
        <v>44</v>
      </c>
      <c r="K214" t="s">
        <v>85</v>
      </c>
      <c r="L214">
        <v>3</v>
      </c>
      <c r="M214" t="s">
        <v>45</v>
      </c>
      <c r="N214" t="s">
        <v>33</v>
      </c>
      <c r="O214">
        <v>5.0999999999999996</v>
      </c>
      <c r="P214" t="s">
        <v>30</v>
      </c>
    </row>
    <row r="215" spans="1:16">
      <c r="A215" t="s">
        <v>302</v>
      </c>
      <c r="B215">
        <v>46139.89025462963</v>
      </c>
      <c r="C215">
        <v>46140.115335891205</v>
      </c>
      <c r="D215">
        <v>46140.857858009258</v>
      </c>
      <c r="E215" t="s">
        <v>75</v>
      </c>
      <c r="F215" t="s">
        <v>5</v>
      </c>
      <c r="G215" t="s">
        <v>79</v>
      </c>
      <c r="H215" t="s">
        <v>84</v>
      </c>
      <c r="I215" t="s">
        <v>67</v>
      </c>
      <c r="J215" t="s">
        <v>37</v>
      </c>
      <c r="K215" t="s">
        <v>85</v>
      </c>
      <c r="L215">
        <v>2</v>
      </c>
      <c r="M215" t="s">
        <v>38</v>
      </c>
      <c r="N215" t="s">
        <v>14</v>
      </c>
      <c r="O215">
        <v>1.2</v>
      </c>
      <c r="P215" t="s">
        <v>39</v>
      </c>
    </row>
    <row r="216" spans="1:16">
      <c r="A216" t="s">
        <v>303</v>
      </c>
      <c r="B216">
        <v>46114.70008101852</v>
      </c>
      <c r="C216">
        <v>46114.866683425927</v>
      </c>
      <c r="D216">
        <v>46115.897369768521</v>
      </c>
      <c r="E216" t="s">
        <v>75</v>
      </c>
      <c r="F216" t="s">
        <v>5</v>
      </c>
      <c r="G216" t="s">
        <v>83</v>
      </c>
      <c r="H216" t="s">
        <v>66</v>
      </c>
      <c r="I216" t="s">
        <v>89</v>
      </c>
      <c r="J216" t="s">
        <v>44</v>
      </c>
      <c r="K216" t="s">
        <v>68</v>
      </c>
      <c r="L216">
        <v>4</v>
      </c>
      <c r="M216" t="s">
        <v>45</v>
      </c>
      <c r="N216" t="s">
        <v>33</v>
      </c>
      <c r="O216">
        <v>5.0999999999999996</v>
      </c>
      <c r="P216" t="s">
        <v>30</v>
      </c>
    </row>
    <row r="217" spans="1:16">
      <c r="A217" t="s">
        <v>304</v>
      </c>
      <c r="B217">
        <v>46129.549375000002</v>
      </c>
      <c r="C217">
        <v>46129.556387476849</v>
      </c>
      <c r="D217">
        <v>46129.63236033565</v>
      </c>
      <c r="E217" t="s">
        <v>75</v>
      </c>
      <c r="F217" t="s">
        <v>3</v>
      </c>
      <c r="G217" t="s">
        <v>65</v>
      </c>
      <c r="H217" t="s">
        <v>77</v>
      </c>
      <c r="I217" t="s">
        <v>89</v>
      </c>
      <c r="J217" t="s">
        <v>23</v>
      </c>
      <c r="K217" t="s">
        <v>68</v>
      </c>
      <c r="L217">
        <v>5</v>
      </c>
      <c r="M217" t="s">
        <v>24</v>
      </c>
      <c r="N217" t="s">
        <v>21</v>
      </c>
      <c r="O217">
        <v>3.4</v>
      </c>
      <c r="P217" t="s">
        <v>22</v>
      </c>
    </row>
    <row r="218" spans="1:16">
      <c r="A218" t="s">
        <v>305</v>
      </c>
      <c r="B218">
        <v>46192.171516203707</v>
      </c>
      <c r="C218">
        <v>46192.206517789353</v>
      </c>
      <c r="E218" t="s">
        <v>132</v>
      </c>
      <c r="F218" t="s">
        <v>4</v>
      </c>
      <c r="G218" t="s">
        <v>94</v>
      </c>
      <c r="H218" t="s">
        <v>84</v>
      </c>
      <c r="I218" t="s">
        <v>67</v>
      </c>
      <c r="J218" t="s">
        <v>37</v>
      </c>
      <c r="K218" t="s">
        <v>68</v>
      </c>
      <c r="M218" t="s">
        <v>38</v>
      </c>
      <c r="N218" t="s">
        <v>14</v>
      </c>
      <c r="O218">
        <v>1.2</v>
      </c>
      <c r="P218" t="s">
        <v>39</v>
      </c>
    </row>
    <row r="219" spans="1:16">
      <c r="A219" t="s">
        <v>306</v>
      </c>
      <c r="B219">
        <v>46188.214247685188</v>
      </c>
      <c r="C219">
        <v>46188.222072928242</v>
      </c>
      <c r="D219">
        <v>46188.300219259261</v>
      </c>
      <c r="E219" t="s">
        <v>75</v>
      </c>
      <c r="F219" t="s">
        <v>3</v>
      </c>
      <c r="G219" t="s">
        <v>71</v>
      </c>
      <c r="H219" t="s">
        <v>80</v>
      </c>
      <c r="I219" t="s">
        <v>73</v>
      </c>
      <c r="J219" t="s">
        <v>25</v>
      </c>
      <c r="K219" t="s">
        <v>68</v>
      </c>
      <c r="L219">
        <v>5</v>
      </c>
      <c r="M219" t="s">
        <v>26</v>
      </c>
      <c r="N219" t="s">
        <v>27</v>
      </c>
      <c r="O219">
        <v>6.3</v>
      </c>
      <c r="P219" t="s">
        <v>15</v>
      </c>
    </row>
    <row r="220" spans="1:16">
      <c r="A220" t="s">
        <v>307</v>
      </c>
      <c r="B220">
        <v>46114.236712962964</v>
      </c>
      <c r="C220">
        <v>46114.523404583335</v>
      </c>
      <c r="D220">
        <v>46115.304929814818</v>
      </c>
      <c r="E220" t="s">
        <v>75</v>
      </c>
      <c r="F220" t="s">
        <v>5</v>
      </c>
      <c r="G220" t="s">
        <v>79</v>
      </c>
      <c r="H220" t="s">
        <v>88</v>
      </c>
      <c r="I220" t="s">
        <v>73</v>
      </c>
      <c r="J220" t="s">
        <v>37</v>
      </c>
      <c r="K220" t="s">
        <v>68</v>
      </c>
      <c r="L220">
        <v>4</v>
      </c>
      <c r="M220" t="s">
        <v>38</v>
      </c>
      <c r="N220" t="s">
        <v>14</v>
      </c>
      <c r="O220">
        <v>1.2</v>
      </c>
      <c r="P220" t="s">
        <v>39</v>
      </c>
    </row>
    <row r="221" spans="1:16">
      <c r="A221" t="s">
        <v>308</v>
      </c>
      <c r="B221">
        <v>46132.913854166669</v>
      </c>
      <c r="C221">
        <v>46133.056981979164</v>
      </c>
      <c r="D221">
        <v>46133.676052627314</v>
      </c>
      <c r="E221" t="s">
        <v>70</v>
      </c>
      <c r="F221" t="s">
        <v>5</v>
      </c>
      <c r="G221" t="s">
        <v>94</v>
      </c>
      <c r="H221" t="s">
        <v>109</v>
      </c>
      <c r="I221" t="s">
        <v>92</v>
      </c>
      <c r="J221" t="s">
        <v>12</v>
      </c>
      <c r="K221" t="s">
        <v>68</v>
      </c>
      <c r="L221">
        <v>3</v>
      </c>
      <c r="M221" t="s">
        <v>13</v>
      </c>
      <c r="N221" t="s">
        <v>14</v>
      </c>
      <c r="O221">
        <v>4.2</v>
      </c>
      <c r="P221" t="s">
        <v>15</v>
      </c>
    </row>
    <row r="222" spans="1:16">
      <c r="A222" t="s">
        <v>309</v>
      </c>
      <c r="B222">
        <v>46183.585613425923</v>
      </c>
      <c r="C222">
        <v>46183.590355682871</v>
      </c>
      <c r="D222">
        <v>46183.648179849537</v>
      </c>
      <c r="E222" t="s">
        <v>70</v>
      </c>
      <c r="F222" t="s">
        <v>3</v>
      </c>
      <c r="G222" t="s">
        <v>65</v>
      </c>
      <c r="H222" t="s">
        <v>77</v>
      </c>
      <c r="I222" t="s">
        <v>73</v>
      </c>
      <c r="J222" t="s">
        <v>19</v>
      </c>
      <c r="K222" t="s">
        <v>85</v>
      </c>
      <c r="L222">
        <v>5</v>
      </c>
      <c r="M222" t="s">
        <v>20</v>
      </c>
      <c r="N222" t="s">
        <v>21</v>
      </c>
      <c r="O222">
        <v>5.6</v>
      </c>
      <c r="P222" t="s">
        <v>22</v>
      </c>
    </row>
    <row r="223" spans="1:16">
      <c r="A223" t="s">
        <v>310</v>
      </c>
      <c r="B223">
        <v>46145.243125000001</v>
      </c>
      <c r="C223">
        <v>46145.337995590278</v>
      </c>
      <c r="D223">
        <v>46145.820250416669</v>
      </c>
      <c r="E223" t="s">
        <v>75</v>
      </c>
      <c r="F223" t="s">
        <v>5</v>
      </c>
      <c r="G223" t="s">
        <v>94</v>
      </c>
      <c r="H223" t="s">
        <v>88</v>
      </c>
      <c r="I223" t="s">
        <v>73</v>
      </c>
      <c r="J223" t="s">
        <v>37</v>
      </c>
      <c r="K223" t="s">
        <v>68</v>
      </c>
      <c r="L223">
        <v>5</v>
      </c>
      <c r="M223" t="s">
        <v>38</v>
      </c>
      <c r="N223" t="s">
        <v>14</v>
      </c>
      <c r="O223">
        <v>1.2</v>
      </c>
      <c r="P223" t="s">
        <v>39</v>
      </c>
    </row>
    <row r="224" spans="1:16">
      <c r="A224" t="s">
        <v>311</v>
      </c>
      <c r="B224">
        <v>46154.28020833333</v>
      </c>
      <c r="C224">
        <v>46154.380338912037</v>
      </c>
      <c r="D224">
        <v>46154.836915266205</v>
      </c>
      <c r="E224" t="s">
        <v>75</v>
      </c>
      <c r="F224" t="s">
        <v>5</v>
      </c>
      <c r="G224" t="s">
        <v>76</v>
      </c>
      <c r="H224" t="s">
        <v>84</v>
      </c>
      <c r="I224" t="s">
        <v>67</v>
      </c>
      <c r="J224" t="s">
        <v>25</v>
      </c>
      <c r="K224" t="s">
        <v>68</v>
      </c>
      <c r="L224">
        <v>5</v>
      </c>
      <c r="M224" t="s">
        <v>26</v>
      </c>
      <c r="N224" t="s">
        <v>27</v>
      </c>
      <c r="O224">
        <v>6.3</v>
      </c>
      <c r="P224" t="s">
        <v>15</v>
      </c>
    </row>
    <row r="225" spans="1:16">
      <c r="A225" t="s">
        <v>312</v>
      </c>
      <c r="B225">
        <v>46199.914907407408</v>
      </c>
      <c r="C225">
        <v>46200.020683576389</v>
      </c>
      <c r="D225">
        <v>46201.394348078706</v>
      </c>
      <c r="E225" t="s">
        <v>75</v>
      </c>
      <c r="F225" t="s">
        <v>6</v>
      </c>
      <c r="G225" t="s">
        <v>65</v>
      </c>
      <c r="H225" t="s">
        <v>72</v>
      </c>
      <c r="I225" t="s">
        <v>73</v>
      </c>
      <c r="J225" t="s">
        <v>19</v>
      </c>
      <c r="K225" t="s">
        <v>68</v>
      </c>
      <c r="L225">
        <v>4</v>
      </c>
      <c r="M225" t="s">
        <v>20</v>
      </c>
      <c r="N225" t="s">
        <v>21</v>
      </c>
      <c r="O225">
        <v>5.6</v>
      </c>
      <c r="P225" t="s">
        <v>22</v>
      </c>
    </row>
    <row r="226" spans="1:16">
      <c r="A226" t="s">
        <v>313</v>
      </c>
      <c r="B226">
        <v>46178.368761574071</v>
      </c>
      <c r="C226">
        <v>46178.435440752313</v>
      </c>
      <c r="D226">
        <v>46179.118212557871</v>
      </c>
      <c r="E226" t="s">
        <v>75</v>
      </c>
      <c r="F226" t="s">
        <v>5</v>
      </c>
      <c r="G226" t="s">
        <v>98</v>
      </c>
      <c r="H226" t="s">
        <v>80</v>
      </c>
      <c r="I226" t="s">
        <v>89</v>
      </c>
      <c r="J226" t="s">
        <v>37</v>
      </c>
      <c r="K226" t="s">
        <v>68</v>
      </c>
      <c r="L226">
        <v>5</v>
      </c>
      <c r="M226" t="s">
        <v>38</v>
      </c>
      <c r="N226" t="s">
        <v>14</v>
      </c>
      <c r="O226">
        <v>1.2</v>
      </c>
      <c r="P226" t="s">
        <v>39</v>
      </c>
    </row>
    <row r="227" spans="1:16">
      <c r="A227" t="s">
        <v>314</v>
      </c>
      <c r="B227">
        <v>46128.569467592592</v>
      </c>
      <c r="C227">
        <v>46128.694768125002</v>
      </c>
      <c r="D227">
        <v>46129.208222048612</v>
      </c>
      <c r="E227" t="s">
        <v>75</v>
      </c>
      <c r="F227" t="s">
        <v>5</v>
      </c>
      <c r="G227" t="s">
        <v>71</v>
      </c>
      <c r="H227" t="s">
        <v>84</v>
      </c>
      <c r="I227" t="s">
        <v>67</v>
      </c>
      <c r="J227" t="s">
        <v>28</v>
      </c>
      <c r="K227" t="s">
        <v>68</v>
      </c>
      <c r="L227">
        <v>5</v>
      </c>
      <c r="M227" t="s">
        <v>29</v>
      </c>
      <c r="N227" t="s">
        <v>27</v>
      </c>
      <c r="O227">
        <v>1.8</v>
      </c>
      <c r="P227" t="s">
        <v>30</v>
      </c>
    </row>
    <row r="228" spans="1:16">
      <c r="A228" t="s">
        <v>315</v>
      </c>
      <c r="B228">
        <v>46120.987013888887</v>
      </c>
      <c r="C228">
        <v>46121.103953252314</v>
      </c>
      <c r="D228">
        <v>46122.467511504627</v>
      </c>
      <c r="E228" t="s">
        <v>75</v>
      </c>
      <c r="F228" t="s">
        <v>6</v>
      </c>
      <c r="G228" t="s">
        <v>94</v>
      </c>
      <c r="H228" t="s">
        <v>80</v>
      </c>
      <c r="I228" t="s">
        <v>73</v>
      </c>
      <c r="J228" t="s">
        <v>16</v>
      </c>
      <c r="K228" t="s">
        <v>85</v>
      </c>
      <c r="L228">
        <v>5</v>
      </c>
      <c r="M228" t="s">
        <v>17</v>
      </c>
      <c r="N228" t="s">
        <v>14</v>
      </c>
      <c r="O228">
        <v>2.1</v>
      </c>
      <c r="P228" t="s">
        <v>18</v>
      </c>
    </row>
    <row r="229" spans="1:16">
      <c r="A229" t="s">
        <v>316</v>
      </c>
      <c r="B229">
        <v>46173.438692129632</v>
      </c>
      <c r="C229">
        <v>46173.884822708336</v>
      </c>
      <c r="D229">
        <v>46174.275385335648</v>
      </c>
      <c r="E229" t="s">
        <v>75</v>
      </c>
      <c r="F229" t="s">
        <v>6</v>
      </c>
      <c r="G229" t="s">
        <v>76</v>
      </c>
      <c r="H229" t="s">
        <v>66</v>
      </c>
      <c r="I229" t="s">
        <v>89</v>
      </c>
      <c r="J229" t="s">
        <v>40</v>
      </c>
      <c r="K229" t="s">
        <v>68</v>
      </c>
      <c r="L229">
        <v>4</v>
      </c>
      <c r="M229" t="s">
        <v>41</v>
      </c>
      <c r="N229" t="s">
        <v>27</v>
      </c>
      <c r="O229">
        <v>4.8</v>
      </c>
      <c r="P229" t="s">
        <v>39</v>
      </c>
    </row>
    <row r="230" spans="1:16">
      <c r="A230" t="s">
        <v>317</v>
      </c>
      <c r="B230">
        <v>46159.270046296297</v>
      </c>
      <c r="C230">
        <v>46159.293732881946</v>
      </c>
      <c r="D230">
        <v>46159.444841249999</v>
      </c>
      <c r="E230" t="s">
        <v>75</v>
      </c>
      <c r="F230" t="s">
        <v>4</v>
      </c>
      <c r="G230" t="s">
        <v>105</v>
      </c>
      <c r="H230" t="s">
        <v>80</v>
      </c>
      <c r="I230" t="s">
        <v>67</v>
      </c>
      <c r="J230" t="s">
        <v>34</v>
      </c>
      <c r="K230" t="s">
        <v>68</v>
      </c>
      <c r="L230">
        <v>5</v>
      </c>
      <c r="M230" t="s">
        <v>35</v>
      </c>
      <c r="N230" t="s">
        <v>33</v>
      </c>
      <c r="O230">
        <v>3</v>
      </c>
      <c r="P230" t="s">
        <v>36</v>
      </c>
    </row>
    <row r="231" spans="1:16">
      <c r="A231" t="s">
        <v>318</v>
      </c>
      <c r="B231">
        <v>46183.389768518522</v>
      </c>
      <c r="C231">
        <v>46183.412082881943</v>
      </c>
      <c r="D231">
        <v>46183.916483819441</v>
      </c>
      <c r="E231" t="s">
        <v>75</v>
      </c>
      <c r="F231" t="s">
        <v>4</v>
      </c>
      <c r="G231" t="s">
        <v>94</v>
      </c>
      <c r="H231" t="s">
        <v>66</v>
      </c>
      <c r="I231" t="s">
        <v>92</v>
      </c>
      <c r="J231" t="s">
        <v>12</v>
      </c>
      <c r="K231" t="s">
        <v>68</v>
      </c>
      <c r="L231">
        <v>5</v>
      </c>
      <c r="M231" t="s">
        <v>13</v>
      </c>
      <c r="N231" t="s">
        <v>14</v>
      </c>
      <c r="O231">
        <v>4.2</v>
      </c>
      <c r="P231" t="s">
        <v>15</v>
      </c>
    </row>
    <row r="232" spans="1:16">
      <c r="A232" t="s">
        <v>319</v>
      </c>
      <c r="B232">
        <v>46194.643229166664</v>
      </c>
      <c r="C232">
        <v>46194.656410439813</v>
      </c>
      <c r="D232">
        <v>46194.774111412036</v>
      </c>
      <c r="E232" t="s">
        <v>70</v>
      </c>
      <c r="F232" t="s">
        <v>3</v>
      </c>
      <c r="G232" t="s">
        <v>105</v>
      </c>
      <c r="H232" t="s">
        <v>77</v>
      </c>
      <c r="I232" t="s">
        <v>89</v>
      </c>
      <c r="J232" t="s">
        <v>34</v>
      </c>
      <c r="K232" t="s">
        <v>68</v>
      </c>
      <c r="L232">
        <v>5</v>
      </c>
      <c r="M232" t="s">
        <v>35</v>
      </c>
      <c r="N232" t="s">
        <v>33</v>
      </c>
      <c r="O232">
        <v>3</v>
      </c>
      <c r="P232" t="s">
        <v>36</v>
      </c>
    </row>
    <row r="233" spans="1:16">
      <c r="A233" t="s">
        <v>320</v>
      </c>
      <c r="B233">
        <v>46130.193101851852</v>
      </c>
      <c r="C233">
        <v>46130.203195208334</v>
      </c>
      <c r="D233">
        <v>46130.345634942132</v>
      </c>
      <c r="E233" t="s">
        <v>75</v>
      </c>
      <c r="F233" t="s">
        <v>3</v>
      </c>
      <c r="G233" t="s">
        <v>105</v>
      </c>
      <c r="H233" t="s">
        <v>106</v>
      </c>
      <c r="I233" t="s">
        <v>92</v>
      </c>
      <c r="J233" t="s">
        <v>34</v>
      </c>
      <c r="K233" t="s">
        <v>68</v>
      </c>
      <c r="L233">
        <v>4</v>
      </c>
      <c r="M233" t="s">
        <v>35</v>
      </c>
      <c r="N233" t="s">
        <v>33</v>
      </c>
      <c r="O233">
        <v>3</v>
      </c>
      <c r="P233" t="s">
        <v>36</v>
      </c>
    </row>
    <row r="234" spans="1:16">
      <c r="A234" t="s">
        <v>321</v>
      </c>
      <c r="B234">
        <v>46191.471354166664</v>
      </c>
      <c r="C234">
        <v>46191.481198414353</v>
      </c>
      <c r="D234">
        <v>46191.581505694441</v>
      </c>
      <c r="E234" t="s">
        <v>70</v>
      </c>
      <c r="F234" t="s">
        <v>4</v>
      </c>
      <c r="G234" t="s">
        <v>65</v>
      </c>
      <c r="H234" t="s">
        <v>88</v>
      </c>
      <c r="I234" t="s">
        <v>89</v>
      </c>
      <c r="J234" t="s">
        <v>42</v>
      </c>
      <c r="K234" t="s">
        <v>68</v>
      </c>
      <c r="L234">
        <v>5</v>
      </c>
      <c r="M234" t="s">
        <v>43</v>
      </c>
      <c r="N234" t="s">
        <v>21</v>
      </c>
      <c r="O234">
        <v>2.7</v>
      </c>
      <c r="P234" t="s">
        <v>36</v>
      </c>
    </row>
    <row r="235" spans="1:16">
      <c r="A235" t="s">
        <v>322</v>
      </c>
      <c r="B235">
        <v>46180.744328703702</v>
      </c>
      <c r="C235">
        <v>46180.9263946875</v>
      </c>
      <c r="D235">
        <v>46184.669533657405</v>
      </c>
      <c r="E235" t="s">
        <v>70</v>
      </c>
      <c r="F235" t="s">
        <v>5</v>
      </c>
      <c r="G235" t="s">
        <v>76</v>
      </c>
      <c r="H235" t="s">
        <v>77</v>
      </c>
      <c r="I235" t="s">
        <v>89</v>
      </c>
      <c r="J235" t="s">
        <v>28</v>
      </c>
      <c r="K235" t="s">
        <v>68</v>
      </c>
      <c r="L235">
        <v>4</v>
      </c>
      <c r="M235" t="s">
        <v>29</v>
      </c>
      <c r="N235" t="s">
        <v>27</v>
      </c>
      <c r="O235">
        <v>1.8</v>
      </c>
      <c r="P235" t="s">
        <v>30</v>
      </c>
    </row>
    <row r="236" spans="1:16">
      <c r="A236" t="s">
        <v>323</v>
      </c>
      <c r="B236">
        <v>46164.085370370369</v>
      </c>
      <c r="C236">
        <v>46164.107997800929</v>
      </c>
      <c r="D236">
        <v>46164.166412557868</v>
      </c>
      <c r="E236" t="s">
        <v>75</v>
      </c>
      <c r="F236" t="s">
        <v>4</v>
      </c>
      <c r="G236" t="s">
        <v>65</v>
      </c>
      <c r="H236" t="s">
        <v>109</v>
      </c>
      <c r="I236" t="s">
        <v>73</v>
      </c>
      <c r="J236" t="s">
        <v>19</v>
      </c>
      <c r="K236" t="s">
        <v>68</v>
      </c>
      <c r="L236">
        <v>4</v>
      </c>
      <c r="M236" t="s">
        <v>20</v>
      </c>
      <c r="N236" t="s">
        <v>21</v>
      </c>
      <c r="O236">
        <v>5.6</v>
      </c>
      <c r="P236" t="s">
        <v>22</v>
      </c>
    </row>
    <row r="237" spans="1:16">
      <c r="A237" t="s">
        <v>324</v>
      </c>
      <c r="B237">
        <v>46135.11141203704</v>
      </c>
      <c r="C237">
        <v>46135.290368611109</v>
      </c>
      <c r="D237">
        <v>46135.776226435184</v>
      </c>
      <c r="E237" t="s">
        <v>75</v>
      </c>
      <c r="F237" t="s">
        <v>5</v>
      </c>
      <c r="G237" t="s">
        <v>105</v>
      </c>
      <c r="H237" t="s">
        <v>88</v>
      </c>
      <c r="I237" t="s">
        <v>92</v>
      </c>
      <c r="J237" t="s">
        <v>31</v>
      </c>
      <c r="K237" t="s">
        <v>68</v>
      </c>
      <c r="L237">
        <v>3</v>
      </c>
      <c r="M237" t="s">
        <v>32</v>
      </c>
      <c r="N237" t="s">
        <v>33</v>
      </c>
      <c r="O237">
        <v>7.1</v>
      </c>
      <c r="P237" t="s">
        <v>18</v>
      </c>
    </row>
    <row r="238" spans="1:16">
      <c r="A238" t="s">
        <v>325</v>
      </c>
      <c r="B238">
        <v>46197.813414351855</v>
      </c>
      <c r="C238">
        <v>46197.860258680557</v>
      </c>
      <c r="D238">
        <v>46198.281476261574</v>
      </c>
      <c r="E238" t="s">
        <v>75</v>
      </c>
      <c r="F238" t="s">
        <v>4</v>
      </c>
      <c r="G238" t="s">
        <v>94</v>
      </c>
      <c r="H238" t="s">
        <v>106</v>
      </c>
      <c r="I238" t="s">
        <v>89</v>
      </c>
      <c r="J238" t="s">
        <v>37</v>
      </c>
      <c r="K238" t="s">
        <v>68</v>
      </c>
      <c r="L238">
        <v>4</v>
      </c>
      <c r="M238" t="s">
        <v>38</v>
      </c>
      <c r="N238" t="s">
        <v>14</v>
      </c>
      <c r="O238">
        <v>1.2</v>
      </c>
      <c r="P238" t="s">
        <v>39</v>
      </c>
    </row>
    <row r="239" spans="1:16">
      <c r="A239" t="s">
        <v>326</v>
      </c>
      <c r="B239">
        <v>46149.955648148149</v>
      </c>
      <c r="C239">
        <v>46149.96065734954</v>
      </c>
      <c r="D239">
        <v>46150.041214976853</v>
      </c>
      <c r="E239" t="s">
        <v>75</v>
      </c>
      <c r="F239" t="s">
        <v>3</v>
      </c>
      <c r="G239" t="s">
        <v>65</v>
      </c>
      <c r="H239" t="s">
        <v>84</v>
      </c>
      <c r="I239" t="s">
        <v>89</v>
      </c>
      <c r="J239" t="s">
        <v>23</v>
      </c>
      <c r="K239" t="s">
        <v>85</v>
      </c>
      <c r="L239">
        <v>5</v>
      </c>
      <c r="M239" t="s">
        <v>24</v>
      </c>
      <c r="N239" t="s">
        <v>21</v>
      </c>
      <c r="O239">
        <v>3.4</v>
      </c>
      <c r="P239" t="s">
        <v>22</v>
      </c>
    </row>
    <row r="240" spans="1:16">
      <c r="A240" t="s">
        <v>327</v>
      </c>
      <c r="B240">
        <v>46174.050405092596</v>
      </c>
      <c r="C240">
        <v>46174.19035877315</v>
      </c>
      <c r="D240">
        <v>46175.119401562501</v>
      </c>
      <c r="E240" t="s">
        <v>75</v>
      </c>
      <c r="F240" t="s">
        <v>5</v>
      </c>
      <c r="G240" t="s">
        <v>76</v>
      </c>
      <c r="H240" t="s">
        <v>106</v>
      </c>
      <c r="I240" t="s">
        <v>67</v>
      </c>
      <c r="J240" t="s">
        <v>28</v>
      </c>
      <c r="K240" t="s">
        <v>68</v>
      </c>
      <c r="L240">
        <v>4</v>
      </c>
      <c r="M240" t="s">
        <v>29</v>
      </c>
      <c r="N240" t="s">
        <v>27</v>
      </c>
      <c r="O240">
        <v>1.8</v>
      </c>
      <c r="P240" t="s">
        <v>30</v>
      </c>
    </row>
    <row r="241" spans="1:16">
      <c r="A241" t="s">
        <v>328</v>
      </c>
      <c r="B241">
        <v>46148.363321759258</v>
      </c>
      <c r="C241">
        <v>46148.77100403935</v>
      </c>
      <c r="D241">
        <v>46153.278382013887</v>
      </c>
      <c r="E241" t="s">
        <v>70</v>
      </c>
      <c r="F241" t="s">
        <v>6</v>
      </c>
      <c r="G241" t="s">
        <v>79</v>
      </c>
      <c r="H241" t="s">
        <v>77</v>
      </c>
      <c r="I241" t="s">
        <v>67</v>
      </c>
      <c r="J241" t="s">
        <v>37</v>
      </c>
      <c r="K241" t="s">
        <v>68</v>
      </c>
      <c r="L241">
        <v>4</v>
      </c>
      <c r="M241" t="s">
        <v>38</v>
      </c>
      <c r="N241" t="s">
        <v>14</v>
      </c>
      <c r="O241">
        <v>1.2</v>
      </c>
      <c r="P241" t="s">
        <v>39</v>
      </c>
    </row>
    <row r="242" spans="1:16">
      <c r="A242" t="s">
        <v>329</v>
      </c>
      <c r="B242">
        <v>46144.493217592593</v>
      </c>
      <c r="C242">
        <v>46144.791296400464</v>
      </c>
      <c r="E242" t="s">
        <v>64</v>
      </c>
      <c r="F242" t="s">
        <v>6</v>
      </c>
      <c r="G242" t="s">
        <v>94</v>
      </c>
      <c r="H242" t="s">
        <v>72</v>
      </c>
      <c r="I242" t="s">
        <v>89</v>
      </c>
      <c r="J242" t="s">
        <v>12</v>
      </c>
      <c r="K242" t="s">
        <v>68</v>
      </c>
      <c r="M242" t="s">
        <v>13</v>
      </c>
      <c r="N242" t="s">
        <v>14</v>
      </c>
      <c r="O242">
        <v>4.2</v>
      </c>
      <c r="P242" t="s">
        <v>15</v>
      </c>
    </row>
    <row r="243" spans="1:16">
      <c r="A243" t="s">
        <v>330</v>
      </c>
      <c r="B243">
        <v>46144.432615740741</v>
      </c>
      <c r="C243">
        <v>46144.711748287038</v>
      </c>
      <c r="D243">
        <v>46148.509949201391</v>
      </c>
      <c r="E243" t="s">
        <v>70</v>
      </c>
      <c r="F243" t="s">
        <v>6</v>
      </c>
      <c r="G243" t="s">
        <v>71</v>
      </c>
      <c r="H243" t="s">
        <v>109</v>
      </c>
      <c r="I243" t="s">
        <v>73</v>
      </c>
      <c r="J243" t="s">
        <v>25</v>
      </c>
      <c r="K243" t="s">
        <v>68</v>
      </c>
      <c r="L243">
        <v>4</v>
      </c>
      <c r="M243" t="s">
        <v>26</v>
      </c>
      <c r="N243" t="s">
        <v>27</v>
      </c>
      <c r="O243">
        <v>6.3</v>
      </c>
      <c r="P243" t="s">
        <v>15</v>
      </c>
    </row>
    <row r="244" spans="1:16">
      <c r="A244" t="s">
        <v>331</v>
      </c>
      <c r="B244">
        <v>46192.632314814815</v>
      </c>
      <c r="C244">
        <v>46192.721834097225</v>
      </c>
      <c r="D244">
        <v>46194.167050682867</v>
      </c>
      <c r="E244" t="s">
        <v>75</v>
      </c>
      <c r="F244" t="s">
        <v>5</v>
      </c>
      <c r="G244" t="s">
        <v>83</v>
      </c>
      <c r="H244" t="s">
        <v>109</v>
      </c>
      <c r="I244" t="s">
        <v>89</v>
      </c>
      <c r="J244" t="s">
        <v>31</v>
      </c>
      <c r="K244" t="s">
        <v>68</v>
      </c>
      <c r="L244">
        <v>3</v>
      </c>
      <c r="M244" t="s">
        <v>32</v>
      </c>
      <c r="N244" t="s">
        <v>33</v>
      </c>
      <c r="O244">
        <v>7.1</v>
      </c>
      <c r="P244" t="s">
        <v>18</v>
      </c>
    </row>
    <row r="245" spans="1:16">
      <c r="A245" t="s">
        <v>332</v>
      </c>
      <c r="B245">
        <v>46151.150208333333</v>
      </c>
      <c r="C245">
        <v>46151.246353888891</v>
      </c>
      <c r="D245">
        <v>46152.271935960649</v>
      </c>
      <c r="E245" t="s">
        <v>75</v>
      </c>
      <c r="F245" t="s">
        <v>5</v>
      </c>
      <c r="G245" t="s">
        <v>105</v>
      </c>
      <c r="H245" t="s">
        <v>80</v>
      </c>
      <c r="I245" t="s">
        <v>89</v>
      </c>
      <c r="J245" t="s">
        <v>44</v>
      </c>
      <c r="K245" t="s">
        <v>68</v>
      </c>
      <c r="L245">
        <v>3</v>
      </c>
      <c r="M245" t="s">
        <v>45</v>
      </c>
      <c r="N245" t="s">
        <v>33</v>
      </c>
      <c r="O245">
        <v>5.0999999999999996</v>
      </c>
      <c r="P245" t="s">
        <v>30</v>
      </c>
    </row>
    <row r="246" spans="1:16">
      <c r="A246" t="s">
        <v>333</v>
      </c>
      <c r="B246">
        <v>46151.294942129629</v>
      </c>
      <c r="C246">
        <v>46151.450368472222</v>
      </c>
      <c r="D246">
        <v>46153.153156238426</v>
      </c>
      <c r="E246" t="s">
        <v>75</v>
      </c>
      <c r="F246" t="s">
        <v>5</v>
      </c>
      <c r="G246" t="s">
        <v>105</v>
      </c>
      <c r="H246" t="s">
        <v>84</v>
      </c>
      <c r="I246" t="s">
        <v>89</v>
      </c>
      <c r="J246" t="s">
        <v>34</v>
      </c>
      <c r="K246" t="s">
        <v>85</v>
      </c>
      <c r="L246">
        <v>3</v>
      </c>
      <c r="M246" t="s">
        <v>35</v>
      </c>
      <c r="N246" t="s">
        <v>33</v>
      </c>
      <c r="O246">
        <v>3</v>
      </c>
      <c r="P246" t="s">
        <v>36</v>
      </c>
    </row>
    <row r="247" spans="1:16">
      <c r="A247" t="s">
        <v>334</v>
      </c>
      <c r="B247">
        <v>46171.262766203705</v>
      </c>
      <c r="C247">
        <v>46171.41211020833</v>
      </c>
      <c r="D247">
        <v>46171.708458252317</v>
      </c>
      <c r="E247" t="s">
        <v>75</v>
      </c>
      <c r="F247" t="s">
        <v>5</v>
      </c>
      <c r="G247" t="s">
        <v>94</v>
      </c>
      <c r="H247" t="s">
        <v>88</v>
      </c>
      <c r="I247" t="s">
        <v>67</v>
      </c>
      <c r="J247" t="s">
        <v>12</v>
      </c>
      <c r="K247" t="s">
        <v>68</v>
      </c>
      <c r="L247">
        <v>5</v>
      </c>
      <c r="M247" t="s">
        <v>13</v>
      </c>
      <c r="N247" t="s">
        <v>14</v>
      </c>
      <c r="O247">
        <v>4.2</v>
      </c>
      <c r="P247" t="s">
        <v>15</v>
      </c>
    </row>
    <row r="248" spans="1:16">
      <c r="A248" t="s">
        <v>335</v>
      </c>
      <c r="B248">
        <v>46130.941446759258</v>
      </c>
      <c r="C248">
        <v>46131.02556804398</v>
      </c>
      <c r="D248">
        <v>46131.562624907405</v>
      </c>
      <c r="E248" t="s">
        <v>75</v>
      </c>
      <c r="F248" t="s">
        <v>5</v>
      </c>
      <c r="G248" t="s">
        <v>105</v>
      </c>
      <c r="H248" t="s">
        <v>77</v>
      </c>
      <c r="I248" t="s">
        <v>89</v>
      </c>
      <c r="J248" t="s">
        <v>31</v>
      </c>
      <c r="K248" t="s">
        <v>68</v>
      </c>
      <c r="L248">
        <v>4</v>
      </c>
      <c r="M248" t="s">
        <v>32</v>
      </c>
      <c r="N248" t="s">
        <v>33</v>
      </c>
      <c r="O248">
        <v>7.1</v>
      </c>
      <c r="P248" t="s">
        <v>18</v>
      </c>
    </row>
    <row r="249" spans="1:16">
      <c r="A249" t="s">
        <v>336</v>
      </c>
      <c r="B249">
        <v>46173.482349537036</v>
      </c>
      <c r="C249">
        <v>46173.486957604167</v>
      </c>
      <c r="D249">
        <v>46173.556978946763</v>
      </c>
      <c r="E249" t="s">
        <v>75</v>
      </c>
      <c r="F249" t="s">
        <v>3</v>
      </c>
      <c r="G249" t="s">
        <v>65</v>
      </c>
      <c r="H249" t="s">
        <v>77</v>
      </c>
      <c r="I249" t="s">
        <v>89</v>
      </c>
      <c r="J249" t="s">
        <v>23</v>
      </c>
      <c r="K249" t="s">
        <v>85</v>
      </c>
      <c r="L249">
        <v>4</v>
      </c>
      <c r="M249" t="s">
        <v>24</v>
      </c>
      <c r="N249" t="s">
        <v>21</v>
      </c>
      <c r="O249">
        <v>3.4</v>
      </c>
      <c r="P249" t="s">
        <v>22</v>
      </c>
    </row>
    <row r="250" spans="1:16">
      <c r="A250" t="s">
        <v>337</v>
      </c>
      <c r="B250">
        <v>46185.162361111114</v>
      </c>
      <c r="C250">
        <v>46185.237192002314</v>
      </c>
      <c r="D250">
        <v>46185.434265543983</v>
      </c>
      <c r="E250" t="s">
        <v>75</v>
      </c>
      <c r="F250" t="s">
        <v>4</v>
      </c>
      <c r="G250" t="s">
        <v>76</v>
      </c>
      <c r="H250" t="s">
        <v>84</v>
      </c>
      <c r="I250" t="s">
        <v>67</v>
      </c>
      <c r="J250" t="s">
        <v>28</v>
      </c>
      <c r="K250" t="s">
        <v>68</v>
      </c>
      <c r="L250">
        <v>4</v>
      </c>
      <c r="M250" t="s">
        <v>29</v>
      </c>
      <c r="N250" t="s">
        <v>27</v>
      </c>
      <c r="O250">
        <v>1.8</v>
      </c>
      <c r="P250" t="s">
        <v>30</v>
      </c>
    </row>
    <row r="251" spans="1:16">
      <c r="A251" t="s">
        <v>338</v>
      </c>
      <c r="B251">
        <v>46195.063321759262</v>
      </c>
      <c r="C251">
        <v>46195.612029016207</v>
      </c>
      <c r="D251">
        <v>46199.253346458332</v>
      </c>
      <c r="E251" t="s">
        <v>70</v>
      </c>
      <c r="F251" t="s">
        <v>6</v>
      </c>
      <c r="G251" t="s">
        <v>79</v>
      </c>
      <c r="H251" t="s">
        <v>66</v>
      </c>
      <c r="I251" t="s">
        <v>67</v>
      </c>
      <c r="J251" t="s">
        <v>37</v>
      </c>
      <c r="K251" t="s">
        <v>68</v>
      </c>
      <c r="L251">
        <v>4</v>
      </c>
      <c r="M251" t="s">
        <v>38</v>
      </c>
      <c r="N251" t="s">
        <v>14</v>
      </c>
      <c r="O251">
        <v>1.2</v>
      </c>
      <c r="P251" t="s">
        <v>39</v>
      </c>
    </row>
    <row r="252" spans="1:16">
      <c r="A252" t="s">
        <v>339</v>
      </c>
      <c r="B252">
        <v>46200.130752314813</v>
      </c>
      <c r="C252">
        <v>46200.216962708335</v>
      </c>
      <c r="D252">
        <v>46200.333059247685</v>
      </c>
      <c r="E252" t="s">
        <v>75</v>
      </c>
      <c r="F252" t="s">
        <v>4</v>
      </c>
      <c r="G252" t="s">
        <v>83</v>
      </c>
      <c r="H252" t="s">
        <v>106</v>
      </c>
      <c r="I252" t="s">
        <v>73</v>
      </c>
      <c r="J252" t="s">
        <v>31</v>
      </c>
      <c r="K252" t="s">
        <v>68</v>
      </c>
      <c r="L252">
        <v>4</v>
      </c>
      <c r="M252" t="s">
        <v>32</v>
      </c>
      <c r="N252" t="s">
        <v>33</v>
      </c>
      <c r="O252">
        <v>7.1</v>
      </c>
      <c r="P252" t="s">
        <v>18</v>
      </c>
    </row>
    <row r="253" spans="1:16">
      <c r="A253" t="s">
        <v>340</v>
      </c>
      <c r="B253">
        <v>46177.673032407409</v>
      </c>
      <c r="C253">
        <v>46177.839104629631</v>
      </c>
      <c r="D253">
        <v>46180.647865115738</v>
      </c>
      <c r="E253" t="s">
        <v>70</v>
      </c>
      <c r="F253" t="s">
        <v>6</v>
      </c>
      <c r="G253" t="s">
        <v>79</v>
      </c>
      <c r="H253" t="s">
        <v>84</v>
      </c>
      <c r="I253" t="s">
        <v>73</v>
      </c>
      <c r="J253" t="s">
        <v>37</v>
      </c>
      <c r="K253" t="s">
        <v>68</v>
      </c>
      <c r="L253">
        <v>5</v>
      </c>
      <c r="M253" t="s">
        <v>38</v>
      </c>
      <c r="N253" t="s">
        <v>14</v>
      </c>
      <c r="O253">
        <v>1.2</v>
      </c>
      <c r="P253" t="s">
        <v>39</v>
      </c>
    </row>
    <row r="254" spans="1:16">
      <c r="A254" t="s">
        <v>341</v>
      </c>
      <c r="B254">
        <v>46135.834016203706</v>
      </c>
      <c r="C254">
        <v>46135.849300162037</v>
      </c>
      <c r="D254">
        <v>46135.976437106481</v>
      </c>
      <c r="E254" t="s">
        <v>75</v>
      </c>
      <c r="F254" t="s">
        <v>4</v>
      </c>
      <c r="G254" t="s">
        <v>65</v>
      </c>
      <c r="H254" t="s">
        <v>66</v>
      </c>
      <c r="I254" t="s">
        <v>92</v>
      </c>
      <c r="J254" t="s">
        <v>19</v>
      </c>
      <c r="K254" t="s">
        <v>68</v>
      </c>
      <c r="L254">
        <v>5</v>
      </c>
      <c r="M254" t="s">
        <v>20</v>
      </c>
      <c r="N254" t="s">
        <v>21</v>
      </c>
      <c r="O254">
        <v>5.6</v>
      </c>
      <c r="P254" t="s">
        <v>22</v>
      </c>
    </row>
    <row r="255" spans="1:16">
      <c r="A255" t="s">
        <v>342</v>
      </c>
      <c r="B255">
        <v>46163.953611111108</v>
      </c>
      <c r="C255">
        <v>46163.979927071756</v>
      </c>
      <c r="D255">
        <v>46164.123334027776</v>
      </c>
      <c r="E255" t="s">
        <v>75</v>
      </c>
      <c r="F255" t="s">
        <v>4</v>
      </c>
      <c r="G255" t="s">
        <v>76</v>
      </c>
      <c r="H255" t="s">
        <v>88</v>
      </c>
      <c r="I255" t="s">
        <v>73</v>
      </c>
      <c r="J255" t="s">
        <v>40</v>
      </c>
      <c r="K255" t="s">
        <v>68</v>
      </c>
      <c r="L255">
        <v>5</v>
      </c>
      <c r="M255" t="s">
        <v>41</v>
      </c>
      <c r="N255" t="s">
        <v>27</v>
      </c>
      <c r="O255">
        <v>4.8</v>
      </c>
      <c r="P255" t="s">
        <v>39</v>
      </c>
    </row>
    <row r="256" spans="1:16">
      <c r="A256" t="s">
        <v>343</v>
      </c>
      <c r="B256">
        <v>46198.970358796294</v>
      </c>
      <c r="C256">
        <v>46198.973692129628</v>
      </c>
      <c r="D256">
        <v>46199.134000150465</v>
      </c>
      <c r="E256" t="s">
        <v>75</v>
      </c>
      <c r="F256" t="s">
        <v>3</v>
      </c>
      <c r="G256" t="s">
        <v>65</v>
      </c>
      <c r="H256" t="s">
        <v>88</v>
      </c>
      <c r="I256" t="s">
        <v>73</v>
      </c>
      <c r="J256" t="s">
        <v>19</v>
      </c>
      <c r="K256" t="s">
        <v>68</v>
      </c>
      <c r="L256">
        <v>5</v>
      </c>
      <c r="M256" t="s">
        <v>20</v>
      </c>
      <c r="N256" t="s">
        <v>21</v>
      </c>
      <c r="O256">
        <v>5.6</v>
      </c>
      <c r="P256" t="s">
        <v>22</v>
      </c>
    </row>
    <row r="257" spans="1:16">
      <c r="A257" t="s">
        <v>344</v>
      </c>
      <c r="B257">
        <v>46178.891597222224</v>
      </c>
      <c r="C257">
        <v>46178.907070914349</v>
      </c>
      <c r="D257">
        <v>46179.018706319446</v>
      </c>
      <c r="E257" t="s">
        <v>75</v>
      </c>
      <c r="F257" t="s">
        <v>4</v>
      </c>
      <c r="G257" t="s">
        <v>71</v>
      </c>
      <c r="H257" t="s">
        <v>72</v>
      </c>
      <c r="I257" t="s">
        <v>73</v>
      </c>
      <c r="J257" t="s">
        <v>25</v>
      </c>
      <c r="K257" t="s">
        <v>68</v>
      </c>
      <c r="L257">
        <v>5</v>
      </c>
      <c r="M257" t="s">
        <v>26</v>
      </c>
      <c r="N257" t="s">
        <v>27</v>
      </c>
      <c r="O257">
        <v>6.3</v>
      </c>
      <c r="P257" t="s">
        <v>15</v>
      </c>
    </row>
    <row r="258" spans="1:16">
      <c r="A258" t="s">
        <v>345</v>
      </c>
      <c r="B258">
        <v>46152.699236111112</v>
      </c>
      <c r="C258">
        <v>46152.821419351851</v>
      </c>
      <c r="D258">
        <v>46153.331935879629</v>
      </c>
      <c r="E258" t="s">
        <v>75</v>
      </c>
      <c r="F258" t="s">
        <v>5</v>
      </c>
      <c r="G258" t="s">
        <v>76</v>
      </c>
      <c r="H258" t="s">
        <v>88</v>
      </c>
      <c r="I258" t="s">
        <v>73</v>
      </c>
      <c r="J258" t="s">
        <v>25</v>
      </c>
      <c r="K258" t="s">
        <v>68</v>
      </c>
      <c r="L258">
        <v>4</v>
      </c>
      <c r="M258" t="s">
        <v>26</v>
      </c>
      <c r="N258" t="s">
        <v>27</v>
      </c>
      <c r="O258">
        <v>6.3</v>
      </c>
      <c r="P258" t="s">
        <v>15</v>
      </c>
    </row>
    <row r="259" spans="1:16">
      <c r="A259" t="s">
        <v>346</v>
      </c>
      <c r="B259">
        <v>46187.849224537036</v>
      </c>
      <c r="C259">
        <v>46188.167468298612</v>
      </c>
      <c r="D259">
        <v>46188.285877002316</v>
      </c>
      <c r="E259" t="s">
        <v>75</v>
      </c>
      <c r="F259" t="s">
        <v>5</v>
      </c>
      <c r="G259" t="s">
        <v>79</v>
      </c>
      <c r="H259" t="s">
        <v>84</v>
      </c>
      <c r="I259" t="s">
        <v>89</v>
      </c>
      <c r="J259" t="s">
        <v>16</v>
      </c>
      <c r="K259" t="s">
        <v>68</v>
      </c>
      <c r="L259">
        <v>5</v>
      </c>
      <c r="M259" t="s">
        <v>17</v>
      </c>
      <c r="N259" t="s">
        <v>14</v>
      </c>
      <c r="O259">
        <v>2.1</v>
      </c>
      <c r="P259" t="s">
        <v>18</v>
      </c>
    </row>
    <row r="260" spans="1:16">
      <c r="A260" t="s">
        <v>347</v>
      </c>
      <c r="B260">
        <v>46193.579895833333</v>
      </c>
      <c r="C260">
        <v>46193.605730717594</v>
      </c>
      <c r="D260">
        <v>46193.650164189814</v>
      </c>
      <c r="E260" t="s">
        <v>75</v>
      </c>
      <c r="F260" t="s">
        <v>3</v>
      </c>
      <c r="G260" t="s">
        <v>65</v>
      </c>
      <c r="H260" t="s">
        <v>109</v>
      </c>
      <c r="I260" t="s">
        <v>73</v>
      </c>
      <c r="J260" t="s">
        <v>23</v>
      </c>
      <c r="K260" t="s">
        <v>68</v>
      </c>
      <c r="L260">
        <v>3</v>
      </c>
      <c r="M260" t="s">
        <v>24</v>
      </c>
      <c r="N260" t="s">
        <v>21</v>
      </c>
      <c r="O260">
        <v>3.4</v>
      </c>
      <c r="P260" t="s">
        <v>22</v>
      </c>
    </row>
    <row r="261" spans="1:16">
      <c r="A261" t="s">
        <v>348</v>
      </c>
      <c r="B261">
        <v>46154.17769675926</v>
      </c>
      <c r="C261">
        <v>46154.188429108799</v>
      </c>
      <c r="D261">
        <v>46154.233263819442</v>
      </c>
      <c r="E261" t="s">
        <v>70</v>
      </c>
      <c r="F261" t="s">
        <v>3</v>
      </c>
      <c r="G261" t="s">
        <v>94</v>
      </c>
      <c r="H261" t="s">
        <v>72</v>
      </c>
      <c r="I261" t="s">
        <v>92</v>
      </c>
      <c r="J261" t="s">
        <v>37</v>
      </c>
      <c r="K261" t="s">
        <v>68</v>
      </c>
      <c r="L261">
        <v>4</v>
      </c>
      <c r="M261" t="s">
        <v>38</v>
      </c>
      <c r="N261" t="s">
        <v>14</v>
      </c>
      <c r="O261">
        <v>1.2</v>
      </c>
      <c r="P261" t="s">
        <v>39</v>
      </c>
    </row>
    <row r="262" spans="1:16">
      <c r="A262" t="s">
        <v>349</v>
      </c>
      <c r="B262">
        <v>46187.69085648148</v>
      </c>
      <c r="C262">
        <v>46188.350616956021</v>
      </c>
      <c r="E262" t="s">
        <v>64</v>
      </c>
      <c r="F262" t="s">
        <v>6</v>
      </c>
      <c r="G262" t="s">
        <v>79</v>
      </c>
      <c r="H262" t="s">
        <v>72</v>
      </c>
      <c r="I262" t="s">
        <v>73</v>
      </c>
      <c r="J262" t="s">
        <v>16</v>
      </c>
      <c r="K262" t="s">
        <v>68</v>
      </c>
      <c r="M262" t="s">
        <v>17</v>
      </c>
      <c r="N262" t="s">
        <v>14</v>
      </c>
      <c r="O262">
        <v>2.1</v>
      </c>
      <c r="P262" t="s">
        <v>18</v>
      </c>
    </row>
    <row r="263" spans="1:16">
      <c r="A263" t="s">
        <v>350</v>
      </c>
      <c r="B263">
        <v>46180.108854166669</v>
      </c>
      <c r="C263">
        <v>46180.135582673611</v>
      </c>
      <c r="D263">
        <v>46180.228358078704</v>
      </c>
      <c r="E263" t="s">
        <v>75</v>
      </c>
      <c r="F263" t="s">
        <v>4</v>
      </c>
      <c r="G263" t="s">
        <v>105</v>
      </c>
      <c r="H263" t="s">
        <v>84</v>
      </c>
      <c r="I263" t="s">
        <v>89</v>
      </c>
      <c r="J263" t="s">
        <v>31</v>
      </c>
      <c r="K263" t="s">
        <v>68</v>
      </c>
      <c r="L263">
        <v>5</v>
      </c>
      <c r="M263" t="s">
        <v>32</v>
      </c>
      <c r="N263" t="s">
        <v>33</v>
      </c>
      <c r="O263">
        <v>7.1</v>
      </c>
      <c r="P263" t="s">
        <v>18</v>
      </c>
    </row>
    <row r="264" spans="1:16">
      <c r="A264" t="s">
        <v>351</v>
      </c>
      <c r="B264">
        <v>46160.176296296297</v>
      </c>
      <c r="C264">
        <v>46160.208850254632</v>
      </c>
      <c r="D264">
        <v>46160.286524861112</v>
      </c>
      <c r="E264" t="s">
        <v>70</v>
      </c>
      <c r="F264" t="s">
        <v>4</v>
      </c>
      <c r="G264" t="s">
        <v>65</v>
      </c>
      <c r="H264" t="s">
        <v>88</v>
      </c>
      <c r="I264" t="s">
        <v>89</v>
      </c>
      <c r="J264" t="s">
        <v>23</v>
      </c>
      <c r="K264" t="s">
        <v>68</v>
      </c>
      <c r="L264">
        <v>3</v>
      </c>
      <c r="M264" t="s">
        <v>24</v>
      </c>
      <c r="N264" t="s">
        <v>21</v>
      </c>
      <c r="O264">
        <v>3.4</v>
      </c>
      <c r="P264" t="s">
        <v>22</v>
      </c>
    </row>
    <row r="265" spans="1:16">
      <c r="A265" t="s">
        <v>352</v>
      </c>
      <c r="B265">
        <v>46191.088518518518</v>
      </c>
      <c r="C265">
        <v>46191.309980057871</v>
      </c>
      <c r="D265">
        <v>46192.480095706022</v>
      </c>
      <c r="E265" t="s">
        <v>75</v>
      </c>
      <c r="F265" t="s">
        <v>5</v>
      </c>
      <c r="G265" t="s">
        <v>71</v>
      </c>
      <c r="H265" t="s">
        <v>109</v>
      </c>
      <c r="I265" t="s">
        <v>73</v>
      </c>
      <c r="J265" t="s">
        <v>40</v>
      </c>
      <c r="K265" t="s">
        <v>68</v>
      </c>
      <c r="L265">
        <v>4</v>
      </c>
      <c r="M265" t="s">
        <v>41</v>
      </c>
      <c r="N265" t="s">
        <v>27</v>
      </c>
      <c r="O265">
        <v>4.8</v>
      </c>
      <c r="P265" t="s">
        <v>39</v>
      </c>
    </row>
    <row r="266" spans="1:16">
      <c r="A266" t="s">
        <v>353</v>
      </c>
      <c r="B266">
        <v>46149.337847222225</v>
      </c>
      <c r="C266">
        <v>46149.341837175925</v>
      </c>
      <c r="D266">
        <v>46149.49523453704</v>
      </c>
      <c r="E266" t="s">
        <v>70</v>
      </c>
      <c r="F266" t="s">
        <v>3</v>
      </c>
      <c r="G266" t="s">
        <v>65</v>
      </c>
      <c r="H266" t="s">
        <v>72</v>
      </c>
      <c r="I266" t="s">
        <v>89</v>
      </c>
      <c r="J266" t="s">
        <v>23</v>
      </c>
      <c r="K266" t="s">
        <v>68</v>
      </c>
      <c r="L266">
        <v>4</v>
      </c>
      <c r="M266" t="s">
        <v>24</v>
      </c>
      <c r="N266" t="s">
        <v>21</v>
      </c>
      <c r="O266">
        <v>3.4</v>
      </c>
      <c r="P266" t="s">
        <v>22</v>
      </c>
    </row>
    <row r="267" spans="1:16">
      <c r="A267" t="s">
        <v>354</v>
      </c>
      <c r="B267">
        <v>46178.774606481478</v>
      </c>
      <c r="C267">
        <v>46178.784272731478</v>
      </c>
      <c r="D267">
        <v>46178.827919756943</v>
      </c>
      <c r="E267" t="s">
        <v>70</v>
      </c>
      <c r="F267" t="s">
        <v>3</v>
      </c>
      <c r="G267" t="s">
        <v>65</v>
      </c>
      <c r="H267" t="s">
        <v>84</v>
      </c>
      <c r="I267" t="s">
        <v>92</v>
      </c>
      <c r="J267" t="s">
        <v>19</v>
      </c>
      <c r="K267" t="s">
        <v>68</v>
      </c>
      <c r="L267">
        <v>4</v>
      </c>
      <c r="M267" t="s">
        <v>20</v>
      </c>
      <c r="N267" t="s">
        <v>21</v>
      </c>
      <c r="O267">
        <v>5.6</v>
      </c>
      <c r="P267" t="s">
        <v>22</v>
      </c>
    </row>
    <row r="268" spans="1:16">
      <c r="A268" t="s">
        <v>355</v>
      </c>
      <c r="B268">
        <v>46122.087569444448</v>
      </c>
      <c r="C268">
        <v>46122.165888240743</v>
      </c>
      <c r="D268">
        <v>46122.947239363428</v>
      </c>
      <c r="E268" t="s">
        <v>75</v>
      </c>
      <c r="F268" t="s">
        <v>5</v>
      </c>
      <c r="G268" t="s">
        <v>71</v>
      </c>
      <c r="H268" t="s">
        <v>106</v>
      </c>
      <c r="I268" t="s">
        <v>92</v>
      </c>
      <c r="J268" t="s">
        <v>40</v>
      </c>
      <c r="K268" t="s">
        <v>68</v>
      </c>
      <c r="L268">
        <v>4</v>
      </c>
      <c r="M268" t="s">
        <v>41</v>
      </c>
      <c r="N268" t="s">
        <v>27</v>
      </c>
      <c r="O268">
        <v>4.8</v>
      </c>
      <c r="P268" t="s">
        <v>39</v>
      </c>
    </row>
    <row r="269" spans="1:16">
      <c r="A269" t="s">
        <v>356</v>
      </c>
      <c r="B269">
        <v>46191.291284722225</v>
      </c>
      <c r="C269">
        <v>46191.336993750003</v>
      </c>
      <c r="D269">
        <v>46191.557843032409</v>
      </c>
      <c r="E269" t="s">
        <v>75</v>
      </c>
      <c r="F269" t="s">
        <v>4</v>
      </c>
      <c r="G269" t="s">
        <v>71</v>
      </c>
      <c r="H269" t="s">
        <v>88</v>
      </c>
      <c r="I269" t="s">
        <v>92</v>
      </c>
      <c r="J269" t="s">
        <v>40</v>
      </c>
      <c r="K269" t="s">
        <v>85</v>
      </c>
      <c r="L269">
        <v>5</v>
      </c>
      <c r="M269" t="s">
        <v>41</v>
      </c>
      <c r="N269" t="s">
        <v>27</v>
      </c>
      <c r="O269">
        <v>4.8</v>
      </c>
      <c r="P269" t="s">
        <v>39</v>
      </c>
    </row>
    <row r="270" spans="1:16">
      <c r="A270" t="s">
        <v>357</v>
      </c>
      <c r="B270">
        <v>46119.892199074071</v>
      </c>
      <c r="C270">
        <v>46120.042477129631</v>
      </c>
      <c r="D270">
        <v>46121.347193321759</v>
      </c>
      <c r="E270" t="s">
        <v>75</v>
      </c>
      <c r="F270" t="s">
        <v>6</v>
      </c>
      <c r="G270" t="s">
        <v>94</v>
      </c>
      <c r="H270" t="s">
        <v>66</v>
      </c>
      <c r="I270" t="s">
        <v>73</v>
      </c>
      <c r="J270" t="s">
        <v>12</v>
      </c>
      <c r="K270" t="s">
        <v>68</v>
      </c>
      <c r="L270">
        <v>4</v>
      </c>
      <c r="M270" t="s">
        <v>13</v>
      </c>
      <c r="N270" t="s">
        <v>14</v>
      </c>
      <c r="O270">
        <v>4.2</v>
      </c>
      <c r="P270" t="s">
        <v>15</v>
      </c>
    </row>
    <row r="271" spans="1:16">
      <c r="A271" t="s">
        <v>358</v>
      </c>
      <c r="B271">
        <v>46130.662569444445</v>
      </c>
      <c r="C271">
        <v>46130.698990254627</v>
      </c>
      <c r="D271">
        <v>46130.86503306713</v>
      </c>
      <c r="E271" t="s">
        <v>75</v>
      </c>
      <c r="F271" t="s">
        <v>4</v>
      </c>
      <c r="G271" t="s">
        <v>71</v>
      </c>
      <c r="H271" t="s">
        <v>88</v>
      </c>
      <c r="I271" t="s">
        <v>92</v>
      </c>
      <c r="J271" t="s">
        <v>40</v>
      </c>
      <c r="K271" t="s">
        <v>68</v>
      </c>
      <c r="L271">
        <v>5</v>
      </c>
      <c r="M271" t="s">
        <v>41</v>
      </c>
      <c r="N271" t="s">
        <v>27</v>
      </c>
      <c r="O271">
        <v>4.8</v>
      </c>
      <c r="P271" t="s">
        <v>39</v>
      </c>
    </row>
    <row r="272" spans="1:16">
      <c r="A272" t="s">
        <v>359</v>
      </c>
      <c r="B272">
        <v>46123.691828703704</v>
      </c>
      <c r="C272">
        <v>46123.702508599534</v>
      </c>
      <c r="D272">
        <v>46123.849432071758</v>
      </c>
      <c r="E272" t="s">
        <v>75</v>
      </c>
      <c r="F272" t="s">
        <v>3</v>
      </c>
      <c r="G272" t="s">
        <v>65</v>
      </c>
      <c r="H272" t="s">
        <v>77</v>
      </c>
      <c r="I272" t="s">
        <v>73</v>
      </c>
      <c r="J272" t="s">
        <v>42</v>
      </c>
      <c r="K272" t="s">
        <v>68</v>
      </c>
      <c r="L272">
        <v>4</v>
      </c>
      <c r="M272" t="s">
        <v>43</v>
      </c>
      <c r="N272" t="s">
        <v>21</v>
      </c>
      <c r="O272">
        <v>2.7</v>
      </c>
      <c r="P272" t="s">
        <v>36</v>
      </c>
    </row>
    <row r="273" spans="1:16">
      <c r="A273" t="s">
        <v>360</v>
      </c>
      <c r="B273">
        <v>46186.167546296296</v>
      </c>
      <c r="C273">
        <v>46186.173629432873</v>
      </c>
      <c r="D273">
        <v>46186.409438807874</v>
      </c>
      <c r="E273" t="s">
        <v>75</v>
      </c>
      <c r="F273" t="s">
        <v>3</v>
      </c>
      <c r="G273" t="s">
        <v>76</v>
      </c>
      <c r="H273" t="s">
        <v>77</v>
      </c>
      <c r="I273" t="s">
        <v>73</v>
      </c>
      <c r="J273" t="s">
        <v>28</v>
      </c>
      <c r="K273" t="s">
        <v>68</v>
      </c>
      <c r="L273">
        <v>4</v>
      </c>
      <c r="M273" t="s">
        <v>29</v>
      </c>
      <c r="N273" t="s">
        <v>27</v>
      </c>
      <c r="O273">
        <v>1.8</v>
      </c>
      <c r="P273" t="s">
        <v>30</v>
      </c>
    </row>
    <row r="274" spans="1:16">
      <c r="A274" t="s">
        <v>361</v>
      </c>
      <c r="B274">
        <v>46114.150694444441</v>
      </c>
      <c r="C274">
        <v>46114.160463182867</v>
      </c>
      <c r="D274">
        <v>46114.20054027778</v>
      </c>
      <c r="E274" t="s">
        <v>75</v>
      </c>
      <c r="F274" t="s">
        <v>3</v>
      </c>
      <c r="G274" t="s">
        <v>65</v>
      </c>
      <c r="H274" t="s">
        <v>80</v>
      </c>
      <c r="I274" t="s">
        <v>73</v>
      </c>
      <c r="J274" t="s">
        <v>42</v>
      </c>
      <c r="K274" t="s">
        <v>68</v>
      </c>
      <c r="L274">
        <v>4</v>
      </c>
      <c r="M274" t="s">
        <v>43</v>
      </c>
      <c r="N274" t="s">
        <v>21</v>
      </c>
      <c r="O274">
        <v>2.7</v>
      </c>
      <c r="P274" t="s">
        <v>36</v>
      </c>
    </row>
    <row r="275" spans="1:16">
      <c r="A275" t="s">
        <v>362</v>
      </c>
      <c r="B275">
        <v>46186.364293981482</v>
      </c>
      <c r="C275">
        <v>46186.916009166664</v>
      </c>
      <c r="D275">
        <v>46188.766449143521</v>
      </c>
      <c r="E275" t="s">
        <v>75</v>
      </c>
      <c r="F275" t="s">
        <v>6</v>
      </c>
      <c r="G275" t="s">
        <v>94</v>
      </c>
      <c r="H275" t="s">
        <v>77</v>
      </c>
      <c r="I275" t="s">
        <v>89</v>
      </c>
      <c r="J275" t="s">
        <v>16</v>
      </c>
      <c r="K275" t="s">
        <v>68</v>
      </c>
      <c r="L275">
        <v>4</v>
      </c>
      <c r="M275" t="s">
        <v>17</v>
      </c>
      <c r="N275" t="s">
        <v>14</v>
      </c>
      <c r="O275">
        <v>2.1</v>
      </c>
      <c r="P275" t="s">
        <v>18</v>
      </c>
    </row>
    <row r="276" spans="1:16">
      <c r="A276" t="s">
        <v>363</v>
      </c>
      <c r="B276">
        <v>46185.038645833331</v>
      </c>
      <c r="C276">
        <v>46185.194851736109</v>
      </c>
      <c r="D276">
        <v>46185.464385115738</v>
      </c>
      <c r="E276" t="s">
        <v>75</v>
      </c>
      <c r="F276" t="s">
        <v>5</v>
      </c>
      <c r="G276" t="s">
        <v>65</v>
      </c>
      <c r="H276" t="s">
        <v>72</v>
      </c>
      <c r="I276" t="s">
        <v>73</v>
      </c>
      <c r="J276" t="s">
        <v>19</v>
      </c>
      <c r="K276" t="s">
        <v>68</v>
      </c>
      <c r="L276">
        <v>5</v>
      </c>
      <c r="M276" t="s">
        <v>20</v>
      </c>
      <c r="N276" t="s">
        <v>21</v>
      </c>
      <c r="O276">
        <v>5.6</v>
      </c>
      <c r="P276" t="s">
        <v>22</v>
      </c>
    </row>
    <row r="277" spans="1:16">
      <c r="A277" t="s">
        <v>364</v>
      </c>
      <c r="B277">
        <v>46129.192256944443</v>
      </c>
      <c r="C277">
        <v>46129.239967222224</v>
      </c>
      <c r="D277">
        <v>46129.732757361111</v>
      </c>
      <c r="E277" t="s">
        <v>75</v>
      </c>
      <c r="F277" t="s">
        <v>5</v>
      </c>
      <c r="G277" t="s">
        <v>65</v>
      </c>
      <c r="H277" t="s">
        <v>80</v>
      </c>
      <c r="I277" t="s">
        <v>67</v>
      </c>
      <c r="J277" t="s">
        <v>23</v>
      </c>
      <c r="K277" t="s">
        <v>68</v>
      </c>
      <c r="L277">
        <v>5</v>
      </c>
      <c r="M277" t="s">
        <v>24</v>
      </c>
      <c r="N277" t="s">
        <v>21</v>
      </c>
      <c r="O277">
        <v>3.4</v>
      </c>
      <c r="P277" t="s">
        <v>22</v>
      </c>
    </row>
    <row r="278" spans="1:16">
      <c r="A278" t="s">
        <v>365</v>
      </c>
      <c r="B278">
        <v>46179.314571759256</v>
      </c>
      <c r="C278">
        <v>46179.334522025463</v>
      </c>
      <c r="D278">
        <v>46179.443631770831</v>
      </c>
      <c r="E278" t="s">
        <v>75</v>
      </c>
      <c r="F278" t="s">
        <v>3</v>
      </c>
      <c r="G278" t="s">
        <v>83</v>
      </c>
      <c r="H278" t="s">
        <v>84</v>
      </c>
      <c r="I278" t="s">
        <v>73</v>
      </c>
      <c r="J278" t="s">
        <v>44</v>
      </c>
      <c r="K278" t="s">
        <v>68</v>
      </c>
      <c r="L278">
        <v>5</v>
      </c>
      <c r="M278" t="s">
        <v>45</v>
      </c>
      <c r="N278" t="s">
        <v>33</v>
      </c>
      <c r="O278">
        <v>5.0999999999999996</v>
      </c>
      <c r="P278" t="s">
        <v>30</v>
      </c>
    </row>
    <row r="279" spans="1:16">
      <c r="A279" t="s">
        <v>366</v>
      </c>
      <c r="B279">
        <v>46174.623900462961</v>
      </c>
      <c r="C279">
        <v>46174.702349583335</v>
      </c>
      <c r="D279">
        <v>46175.886366643521</v>
      </c>
      <c r="E279" t="s">
        <v>70</v>
      </c>
      <c r="F279" t="s">
        <v>5</v>
      </c>
      <c r="G279" t="s">
        <v>76</v>
      </c>
      <c r="H279" t="s">
        <v>80</v>
      </c>
      <c r="I279" t="s">
        <v>73</v>
      </c>
      <c r="J279" t="s">
        <v>25</v>
      </c>
      <c r="K279" t="s">
        <v>68</v>
      </c>
      <c r="L279">
        <v>3</v>
      </c>
      <c r="M279" t="s">
        <v>26</v>
      </c>
      <c r="N279" t="s">
        <v>27</v>
      </c>
      <c r="O279">
        <v>6.3</v>
      </c>
      <c r="P279" t="s">
        <v>15</v>
      </c>
    </row>
    <row r="280" spans="1:16">
      <c r="A280" t="s">
        <v>367</v>
      </c>
      <c r="B280">
        <v>46148.593136574076</v>
      </c>
      <c r="C280">
        <v>46148.633279097223</v>
      </c>
      <c r="D280">
        <v>46148.778781550929</v>
      </c>
      <c r="E280" t="s">
        <v>70</v>
      </c>
      <c r="F280" t="s">
        <v>4</v>
      </c>
      <c r="G280" t="s">
        <v>105</v>
      </c>
      <c r="H280" t="s">
        <v>72</v>
      </c>
      <c r="I280" t="s">
        <v>73</v>
      </c>
      <c r="J280" t="s">
        <v>34</v>
      </c>
      <c r="K280" t="s">
        <v>68</v>
      </c>
      <c r="L280">
        <v>5</v>
      </c>
      <c r="M280" t="s">
        <v>35</v>
      </c>
      <c r="N280" t="s">
        <v>33</v>
      </c>
      <c r="O280">
        <v>3</v>
      </c>
      <c r="P280" t="s">
        <v>36</v>
      </c>
    </row>
    <row r="281" spans="1:16">
      <c r="A281" t="s">
        <v>368</v>
      </c>
      <c r="B281">
        <v>46187.607106481482</v>
      </c>
      <c r="C281">
        <v>46187.6310231713</v>
      </c>
      <c r="D281">
        <v>46187.715372881947</v>
      </c>
      <c r="E281" t="s">
        <v>75</v>
      </c>
      <c r="F281" t="s">
        <v>3</v>
      </c>
      <c r="G281" t="s">
        <v>83</v>
      </c>
      <c r="H281" t="s">
        <v>84</v>
      </c>
      <c r="I281" t="s">
        <v>89</v>
      </c>
      <c r="J281" t="s">
        <v>44</v>
      </c>
      <c r="K281" t="s">
        <v>68</v>
      </c>
      <c r="L281">
        <v>4</v>
      </c>
      <c r="M281" t="s">
        <v>45</v>
      </c>
      <c r="N281" t="s">
        <v>33</v>
      </c>
      <c r="O281">
        <v>5.0999999999999996</v>
      </c>
      <c r="P281" t="s">
        <v>30</v>
      </c>
    </row>
    <row r="282" spans="1:16">
      <c r="A282" t="s">
        <v>369</v>
      </c>
      <c r="B282">
        <v>46116.10732638889</v>
      </c>
      <c r="C282">
        <v>46116.127175810187</v>
      </c>
      <c r="D282">
        <v>46116.135509143518</v>
      </c>
      <c r="E282" t="s">
        <v>75</v>
      </c>
      <c r="F282" t="s">
        <v>4</v>
      </c>
      <c r="G282" t="s">
        <v>65</v>
      </c>
      <c r="H282" t="s">
        <v>77</v>
      </c>
      <c r="I282" t="s">
        <v>92</v>
      </c>
      <c r="J282" t="s">
        <v>23</v>
      </c>
      <c r="K282" t="s">
        <v>68</v>
      </c>
      <c r="L282">
        <v>4</v>
      </c>
      <c r="M282" t="s">
        <v>24</v>
      </c>
      <c r="N282" t="s">
        <v>21</v>
      </c>
      <c r="O282">
        <v>3.4</v>
      </c>
      <c r="P282" t="s">
        <v>22</v>
      </c>
    </row>
    <row r="283" spans="1:16">
      <c r="A283" t="s">
        <v>370</v>
      </c>
      <c r="B283">
        <v>46168.090787037036</v>
      </c>
      <c r="C283">
        <v>46168.17657354167</v>
      </c>
      <c r="D283">
        <v>46168.594914317131</v>
      </c>
      <c r="E283" t="s">
        <v>75</v>
      </c>
      <c r="F283" t="s">
        <v>5</v>
      </c>
      <c r="G283" t="s">
        <v>94</v>
      </c>
      <c r="H283" t="s">
        <v>88</v>
      </c>
      <c r="I283" t="s">
        <v>89</v>
      </c>
      <c r="J283" t="s">
        <v>37</v>
      </c>
      <c r="K283" t="s">
        <v>68</v>
      </c>
      <c r="L283">
        <v>4</v>
      </c>
      <c r="M283" t="s">
        <v>38</v>
      </c>
      <c r="N283" t="s">
        <v>14</v>
      </c>
      <c r="O283">
        <v>1.2</v>
      </c>
      <c r="P283" t="s">
        <v>39</v>
      </c>
    </row>
    <row r="284" spans="1:16">
      <c r="A284" t="s">
        <v>371</v>
      </c>
      <c r="B284">
        <v>46186.956319444442</v>
      </c>
      <c r="C284">
        <v>46187.038733703703</v>
      </c>
      <c r="D284">
        <v>46187.434777974537</v>
      </c>
      <c r="E284" t="s">
        <v>75</v>
      </c>
      <c r="F284" t="s">
        <v>5</v>
      </c>
      <c r="G284" t="s">
        <v>98</v>
      </c>
      <c r="H284" t="s">
        <v>109</v>
      </c>
      <c r="I284" t="s">
        <v>92</v>
      </c>
      <c r="J284" t="s">
        <v>16</v>
      </c>
      <c r="K284" t="s">
        <v>68</v>
      </c>
      <c r="L284">
        <v>4</v>
      </c>
      <c r="M284" t="s">
        <v>17</v>
      </c>
      <c r="N284" t="s">
        <v>14</v>
      </c>
      <c r="O284">
        <v>2.1</v>
      </c>
      <c r="P284" t="s">
        <v>18</v>
      </c>
    </row>
    <row r="285" spans="1:16">
      <c r="A285" t="s">
        <v>372</v>
      </c>
      <c r="B285">
        <v>46151.659953703704</v>
      </c>
      <c r="C285">
        <v>46151.718017534724</v>
      </c>
      <c r="D285">
        <v>46152.649522546293</v>
      </c>
      <c r="E285" t="s">
        <v>75</v>
      </c>
      <c r="F285" t="s">
        <v>5</v>
      </c>
      <c r="G285" t="s">
        <v>79</v>
      </c>
      <c r="H285" t="s">
        <v>72</v>
      </c>
      <c r="I285" t="s">
        <v>73</v>
      </c>
      <c r="J285" t="s">
        <v>37</v>
      </c>
      <c r="K285" t="s">
        <v>68</v>
      </c>
      <c r="L285">
        <v>5</v>
      </c>
      <c r="M285" t="s">
        <v>38</v>
      </c>
      <c r="N285" t="s">
        <v>14</v>
      </c>
      <c r="O285">
        <v>1.2</v>
      </c>
      <c r="P285" t="s">
        <v>39</v>
      </c>
    </row>
    <row r="286" spans="1:16">
      <c r="A286" t="s">
        <v>373</v>
      </c>
      <c r="B286">
        <v>46176.292256944442</v>
      </c>
      <c r="C286">
        <v>46176.363619768519</v>
      </c>
      <c r="D286">
        <v>46177.129510937499</v>
      </c>
      <c r="E286" t="s">
        <v>75</v>
      </c>
      <c r="F286" t="s">
        <v>5</v>
      </c>
      <c r="G286" t="s">
        <v>105</v>
      </c>
      <c r="H286" t="s">
        <v>66</v>
      </c>
      <c r="I286" t="s">
        <v>73</v>
      </c>
      <c r="J286" t="s">
        <v>34</v>
      </c>
      <c r="K286" t="s">
        <v>85</v>
      </c>
      <c r="L286">
        <v>5</v>
      </c>
      <c r="M286" t="s">
        <v>35</v>
      </c>
      <c r="N286" t="s">
        <v>33</v>
      </c>
      <c r="O286">
        <v>3</v>
      </c>
      <c r="P286" t="s">
        <v>36</v>
      </c>
    </row>
    <row r="287" spans="1:16">
      <c r="A287" t="s">
        <v>374</v>
      </c>
      <c r="B287">
        <v>46131.386076388888</v>
      </c>
      <c r="C287">
        <v>46131.410981342589</v>
      </c>
      <c r="D287">
        <v>46131.886593611111</v>
      </c>
      <c r="E287" t="s">
        <v>75</v>
      </c>
      <c r="F287" t="s">
        <v>4</v>
      </c>
      <c r="G287" t="s">
        <v>83</v>
      </c>
      <c r="H287" t="s">
        <v>77</v>
      </c>
      <c r="I287" t="s">
        <v>73</v>
      </c>
      <c r="J287" t="s">
        <v>31</v>
      </c>
      <c r="K287" t="s">
        <v>85</v>
      </c>
      <c r="L287">
        <v>3</v>
      </c>
      <c r="M287" t="s">
        <v>32</v>
      </c>
      <c r="N287" t="s">
        <v>33</v>
      </c>
      <c r="O287">
        <v>7.1</v>
      </c>
      <c r="P287" t="s">
        <v>18</v>
      </c>
    </row>
    <row r="288" spans="1:16">
      <c r="A288" t="s">
        <v>375</v>
      </c>
      <c r="B288">
        <v>46121.12222222222</v>
      </c>
      <c r="C288">
        <v>46121.279851597224</v>
      </c>
      <c r="D288">
        <v>46122.456247881943</v>
      </c>
      <c r="E288" t="s">
        <v>75</v>
      </c>
      <c r="F288" t="s">
        <v>6</v>
      </c>
      <c r="G288" t="s">
        <v>98</v>
      </c>
      <c r="H288" t="s">
        <v>88</v>
      </c>
      <c r="I288" t="s">
        <v>73</v>
      </c>
      <c r="J288" t="s">
        <v>12</v>
      </c>
      <c r="K288" t="s">
        <v>68</v>
      </c>
      <c r="L288">
        <v>4</v>
      </c>
      <c r="M288" t="s">
        <v>13</v>
      </c>
      <c r="N288" t="s">
        <v>14</v>
      </c>
      <c r="O288">
        <v>4.2</v>
      </c>
      <c r="P288" t="s">
        <v>15</v>
      </c>
    </row>
    <row r="289" spans="1:16">
      <c r="A289" t="s">
        <v>376</v>
      </c>
      <c r="B289">
        <v>46116.586851851855</v>
      </c>
      <c r="C289">
        <v>46116.629503657408</v>
      </c>
      <c r="D289">
        <v>46117.839133437497</v>
      </c>
      <c r="E289" t="s">
        <v>75</v>
      </c>
      <c r="F289" t="s">
        <v>5</v>
      </c>
      <c r="G289" t="s">
        <v>79</v>
      </c>
      <c r="H289" t="s">
        <v>66</v>
      </c>
      <c r="I289" t="s">
        <v>73</v>
      </c>
      <c r="J289" t="s">
        <v>12</v>
      </c>
      <c r="K289" t="s">
        <v>68</v>
      </c>
      <c r="L289">
        <v>4</v>
      </c>
      <c r="M289" t="s">
        <v>13</v>
      </c>
      <c r="N289" t="s">
        <v>14</v>
      </c>
      <c r="O289">
        <v>4.2</v>
      </c>
      <c r="P289" t="s">
        <v>15</v>
      </c>
    </row>
    <row r="290" spans="1:16">
      <c r="A290" t="s">
        <v>377</v>
      </c>
      <c r="B290">
        <v>46148.327280092592</v>
      </c>
      <c r="C290">
        <v>46148.463889733794</v>
      </c>
      <c r="D290">
        <v>46149.0647650463</v>
      </c>
      <c r="E290" t="s">
        <v>75</v>
      </c>
      <c r="F290" t="s">
        <v>6</v>
      </c>
      <c r="G290" t="s">
        <v>98</v>
      </c>
      <c r="H290" t="s">
        <v>80</v>
      </c>
      <c r="I290" t="s">
        <v>89</v>
      </c>
      <c r="J290" t="s">
        <v>12</v>
      </c>
      <c r="K290" t="s">
        <v>85</v>
      </c>
      <c r="L290">
        <v>4</v>
      </c>
      <c r="M290" t="s">
        <v>13</v>
      </c>
      <c r="N290" t="s">
        <v>14</v>
      </c>
      <c r="O290">
        <v>4.2</v>
      </c>
      <c r="P290" t="s">
        <v>15</v>
      </c>
    </row>
    <row r="291" spans="1:16">
      <c r="A291" t="s">
        <v>378</v>
      </c>
      <c r="B291">
        <v>46171.21980324074</v>
      </c>
      <c r="C291">
        <v>46171.486793275464</v>
      </c>
      <c r="D291">
        <v>46172.230005833335</v>
      </c>
      <c r="E291" t="s">
        <v>75</v>
      </c>
      <c r="F291" t="s">
        <v>5</v>
      </c>
      <c r="G291" t="s">
        <v>65</v>
      </c>
      <c r="H291" t="s">
        <v>84</v>
      </c>
      <c r="I291" t="s">
        <v>73</v>
      </c>
      <c r="J291" t="s">
        <v>19</v>
      </c>
      <c r="K291" t="s">
        <v>68</v>
      </c>
      <c r="L291">
        <v>3</v>
      </c>
      <c r="M291" t="s">
        <v>20</v>
      </c>
      <c r="N291" t="s">
        <v>21</v>
      </c>
      <c r="O291">
        <v>5.6</v>
      </c>
      <c r="P291" t="s">
        <v>22</v>
      </c>
    </row>
    <row r="292" spans="1:16">
      <c r="A292" t="s">
        <v>379</v>
      </c>
      <c r="B292">
        <v>46189.895092592589</v>
      </c>
      <c r="C292">
        <v>46190.020691967591</v>
      </c>
      <c r="D292">
        <v>46191.760963587963</v>
      </c>
      <c r="E292" t="s">
        <v>75</v>
      </c>
      <c r="F292" t="s">
        <v>5</v>
      </c>
      <c r="G292" t="s">
        <v>76</v>
      </c>
      <c r="H292" t="s">
        <v>66</v>
      </c>
      <c r="I292" t="s">
        <v>89</v>
      </c>
      <c r="J292" t="s">
        <v>28</v>
      </c>
      <c r="K292" t="s">
        <v>68</v>
      </c>
      <c r="L292">
        <v>4</v>
      </c>
      <c r="M292" t="s">
        <v>29</v>
      </c>
      <c r="N292" t="s">
        <v>27</v>
      </c>
      <c r="O292">
        <v>1.8</v>
      </c>
      <c r="P292" t="s">
        <v>30</v>
      </c>
    </row>
    <row r="293" spans="1:16">
      <c r="A293" t="s">
        <v>380</v>
      </c>
      <c r="B293">
        <v>46147.088217592594</v>
      </c>
      <c r="C293">
        <v>46147.204443287039</v>
      </c>
      <c r="D293">
        <v>46148.071438217594</v>
      </c>
      <c r="E293" t="s">
        <v>75</v>
      </c>
      <c r="F293" t="s">
        <v>5</v>
      </c>
      <c r="G293" t="s">
        <v>79</v>
      </c>
      <c r="H293" t="s">
        <v>84</v>
      </c>
      <c r="I293" t="s">
        <v>89</v>
      </c>
      <c r="J293" t="s">
        <v>37</v>
      </c>
      <c r="K293" t="s">
        <v>68</v>
      </c>
      <c r="L293">
        <v>5</v>
      </c>
      <c r="M293" t="s">
        <v>38</v>
      </c>
      <c r="N293" t="s">
        <v>14</v>
      </c>
      <c r="O293">
        <v>1.2</v>
      </c>
      <c r="P293" t="s">
        <v>39</v>
      </c>
    </row>
    <row r="294" spans="1:16">
      <c r="A294" t="s">
        <v>381</v>
      </c>
      <c r="B294">
        <v>46199.057557870372</v>
      </c>
      <c r="C294">
        <v>46199.143795127318</v>
      </c>
      <c r="D294">
        <v>46199.382587800923</v>
      </c>
      <c r="E294" t="s">
        <v>75</v>
      </c>
      <c r="F294" t="s">
        <v>5</v>
      </c>
      <c r="G294" t="s">
        <v>65</v>
      </c>
      <c r="H294" t="s">
        <v>66</v>
      </c>
      <c r="I294" t="s">
        <v>67</v>
      </c>
      <c r="J294" t="s">
        <v>42</v>
      </c>
      <c r="K294" t="s">
        <v>68</v>
      </c>
      <c r="L294">
        <v>4</v>
      </c>
      <c r="M294" t="s">
        <v>43</v>
      </c>
      <c r="N294" t="s">
        <v>21</v>
      </c>
      <c r="O294">
        <v>2.7</v>
      </c>
      <c r="P294" t="s">
        <v>36</v>
      </c>
    </row>
    <row r="295" spans="1:16">
      <c r="A295" t="s">
        <v>382</v>
      </c>
      <c r="B295">
        <v>46124.058333333334</v>
      </c>
      <c r="C295">
        <v>46124.098687199075</v>
      </c>
      <c r="D295">
        <v>46124.226414074074</v>
      </c>
      <c r="E295" t="s">
        <v>75</v>
      </c>
      <c r="F295" t="s">
        <v>5</v>
      </c>
      <c r="G295" t="s">
        <v>65</v>
      </c>
      <c r="H295" t="s">
        <v>84</v>
      </c>
      <c r="I295" t="s">
        <v>67</v>
      </c>
      <c r="J295" t="s">
        <v>19</v>
      </c>
      <c r="K295" t="s">
        <v>68</v>
      </c>
      <c r="L295">
        <v>5</v>
      </c>
      <c r="M295" t="s">
        <v>20</v>
      </c>
      <c r="N295" t="s">
        <v>21</v>
      </c>
      <c r="O295">
        <v>5.6</v>
      </c>
      <c r="P295" t="s">
        <v>22</v>
      </c>
    </row>
    <row r="296" spans="1:16">
      <c r="A296" t="s">
        <v>383</v>
      </c>
      <c r="B296">
        <v>46181.424166666664</v>
      </c>
      <c r="C296">
        <v>46181.432105347223</v>
      </c>
      <c r="D296">
        <v>46181.732864837963</v>
      </c>
      <c r="E296" t="s">
        <v>75</v>
      </c>
      <c r="F296" t="s">
        <v>3</v>
      </c>
      <c r="G296" t="s">
        <v>76</v>
      </c>
      <c r="H296" t="s">
        <v>80</v>
      </c>
      <c r="I296" t="s">
        <v>92</v>
      </c>
      <c r="J296" t="s">
        <v>25</v>
      </c>
      <c r="K296" t="s">
        <v>68</v>
      </c>
      <c r="L296">
        <v>4</v>
      </c>
      <c r="M296" t="s">
        <v>26</v>
      </c>
      <c r="N296" t="s">
        <v>27</v>
      </c>
      <c r="O296">
        <v>6.3</v>
      </c>
      <c r="P296" t="s">
        <v>15</v>
      </c>
    </row>
    <row r="297" spans="1:16">
      <c r="A297" t="s">
        <v>384</v>
      </c>
      <c r="B297">
        <v>46117.280358796299</v>
      </c>
      <c r="C297">
        <v>46117.430714756942</v>
      </c>
      <c r="D297">
        <v>46117.621150787039</v>
      </c>
      <c r="E297" t="s">
        <v>75</v>
      </c>
      <c r="F297" t="s">
        <v>5</v>
      </c>
      <c r="G297" t="s">
        <v>105</v>
      </c>
      <c r="H297" t="s">
        <v>66</v>
      </c>
      <c r="I297" t="s">
        <v>73</v>
      </c>
      <c r="J297" t="s">
        <v>31</v>
      </c>
      <c r="K297" t="s">
        <v>68</v>
      </c>
      <c r="L297">
        <v>4</v>
      </c>
      <c r="M297" t="s">
        <v>32</v>
      </c>
      <c r="N297" t="s">
        <v>33</v>
      </c>
      <c r="O297">
        <v>7.1</v>
      </c>
      <c r="P297" t="s">
        <v>18</v>
      </c>
    </row>
    <row r="298" spans="1:16">
      <c r="A298" t="s">
        <v>385</v>
      </c>
      <c r="B298">
        <v>46186.072881944441</v>
      </c>
      <c r="C298">
        <v>46186.472118113423</v>
      </c>
      <c r="D298">
        <v>46186.605242442129</v>
      </c>
      <c r="E298" t="s">
        <v>75</v>
      </c>
      <c r="F298" t="s">
        <v>5</v>
      </c>
      <c r="G298" t="s">
        <v>71</v>
      </c>
      <c r="H298" t="s">
        <v>106</v>
      </c>
      <c r="I298" t="s">
        <v>73</v>
      </c>
      <c r="J298" t="s">
        <v>40</v>
      </c>
      <c r="K298" t="s">
        <v>85</v>
      </c>
      <c r="L298">
        <v>4</v>
      </c>
      <c r="M298" t="s">
        <v>41</v>
      </c>
      <c r="N298" t="s">
        <v>27</v>
      </c>
      <c r="O298">
        <v>4.8</v>
      </c>
      <c r="P298" t="s">
        <v>39</v>
      </c>
    </row>
    <row r="299" spans="1:16">
      <c r="A299" t="s">
        <v>386</v>
      </c>
      <c r="B299">
        <v>46147.540601851855</v>
      </c>
      <c r="C299">
        <v>46147.574934155091</v>
      </c>
      <c r="D299">
        <v>46147.960565983798</v>
      </c>
      <c r="E299" t="s">
        <v>70</v>
      </c>
      <c r="F299" t="s">
        <v>4</v>
      </c>
      <c r="G299" t="s">
        <v>83</v>
      </c>
      <c r="H299" t="s">
        <v>106</v>
      </c>
      <c r="I299" t="s">
        <v>67</v>
      </c>
      <c r="J299" t="s">
        <v>34</v>
      </c>
      <c r="K299" t="s">
        <v>68</v>
      </c>
      <c r="L299">
        <v>4</v>
      </c>
      <c r="M299" t="s">
        <v>35</v>
      </c>
      <c r="N299" t="s">
        <v>33</v>
      </c>
      <c r="O299">
        <v>3</v>
      </c>
      <c r="P299" t="s">
        <v>36</v>
      </c>
    </row>
    <row r="300" spans="1:16">
      <c r="A300" t="s">
        <v>387</v>
      </c>
      <c r="B300">
        <v>46138.002939814818</v>
      </c>
      <c r="C300">
        <v>46138.121640844911</v>
      </c>
      <c r="D300">
        <v>46138.497468298614</v>
      </c>
      <c r="E300" t="s">
        <v>75</v>
      </c>
      <c r="F300" t="s">
        <v>5</v>
      </c>
      <c r="G300" t="s">
        <v>94</v>
      </c>
      <c r="H300" t="s">
        <v>109</v>
      </c>
      <c r="I300" t="s">
        <v>92</v>
      </c>
      <c r="J300" t="s">
        <v>16</v>
      </c>
      <c r="K300" t="s">
        <v>68</v>
      </c>
      <c r="L300">
        <v>4</v>
      </c>
      <c r="M300" t="s">
        <v>17</v>
      </c>
      <c r="N300" t="s">
        <v>14</v>
      </c>
      <c r="O300">
        <v>2.1</v>
      </c>
      <c r="P300" t="s">
        <v>18</v>
      </c>
    </row>
    <row r="301" spans="1:16">
      <c r="A301" t="s">
        <v>388</v>
      </c>
      <c r="B301">
        <v>46167.088692129626</v>
      </c>
      <c r="C301">
        <v>46167.217184988425</v>
      </c>
      <c r="D301">
        <v>46167.77153690972</v>
      </c>
      <c r="E301" t="s">
        <v>70</v>
      </c>
      <c r="F301" t="s">
        <v>5</v>
      </c>
      <c r="G301" t="s">
        <v>71</v>
      </c>
      <c r="H301" t="s">
        <v>84</v>
      </c>
      <c r="I301" t="s">
        <v>73</v>
      </c>
      <c r="J301" t="s">
        <v>40</v>
      </c>
      <c r="K301" t="s">
        <v>68</v>
      </c>
      <c r="L301">
        <v>4</v>
      </c>
      <c r="M301" t="s">
        <v>41</v>
      </c>
      <c r="N301" t="s">
        <v>27</v>
      </c>
      <c r="O301">
        <v>4.8</v>
      </c>
      <c r="P301" t="s">
        <v>39</v>
      </c>
    </row>
    <row r="302" spans="1:16">
      <c r="A302" t="s">
        <v>389</v>
      </c>
      <c r="B302">
        <v>46152.149884259263</v>
      </c>
      <c r="C302">
        <v>46152.227739571761</v>
      </c>
      <c r="D302">
        <v>46152.711685138886</v>
      </c>
      <c r="E302" t="s">
        <v>75</v>
      </c>
      <c r="F302" t="s">
        <v>4</v>
      </c>
      <c r="G302" t="s">
        <v>71</v>
      </c>
      <c r="H302" t="s">
        <v>106</v>
      </c>
      <c r="I302" t="s">
        <v>73</v>
      </c>
      <c r="J302" t="s">
        <v>25</v>
      </c>
      <c r="K302" t="s">
        <v>68</v>
      </c>
      <c r="L302">
        <v>4</v>
      </c>
      <c r="M302" t="s">
        <v>26</v>
      </c>
      <c r="N302" t="s">
        <v>27</v>
      </c>
      <c r="O302">
        <v>6.3</v>
      </c>
      <c r="P302" t="s">
        <v>15</v>
      </c>
    </row>
    <row r="303" spans="1:16">
      <c r="A303" t="s">
        <v>390</v>
      </c>
      <c r="B303">
        <v>46118.762881944444</v>
      </c>
      <c r="C303">
        <v>46118.788983634258</v>
      </c>
      <c r="D303">
        <v>46119.195203530093</v>
      </c>
      <c r="E303" t="s">
        <v>75</v>
      </c>
      <c r="F303" t="s">
        <v>4</v>
      </c>
      <c r="G303" t="s">
        <v>83</v>
      </c>
      <c r="H303" t="s">
        <v>72</v>
      </c>
      <c r="I303" t="s">
        <v>67</v>
      </c>
      <c r="J303" t="s">
        <v>34</v>
      </c>
      <c r="K303" t="s">
        <v>68</v>
      </c>
      <c r="L303">
        <v>4</v>
      </c>
      <c r="M303" t="s">
        <v>35</v>
      </c>
      <c r="N303" t="s">
        <v>33</v>
      </c>
      <c r="O303">
        <v>3</v>
      </c>
      <c r="P303" t="s">
        <v>36</v>
      </c>
    </row>
    <row r="304" spans="1:16">
      <c r="A304" t="s">
        <v>391</v>
      </c>
      <c r="B304">
        <v>46117.331724537034</v>
      </c>
      <c r="C304">
        <v>46117.515721284719</v>
      </c>
      <c r="D304">
        <v>46118.071732604163</v>
      </c>
      <c r="E304" t="s">
        <v>75</v>
      </c>
      <c r="F304" t="s">
        <v>5</v>
      </c>
      <c r="G304" t="s">
        <v>79</v>
      </c>
      <c r="H304" t="s">
        <v>66</v>
      </c>
      <c r="I304" t="s">
        <v>73</v>
      </c>
      <c r="J304" t="s">
        <v>16</v>
      </c>
      <c r="K304" t="s">
        <v>68</v>
      </c>
      <c r="L304">
        <v>3</v>
      </c>
      <c r="M304" t="s">
        <v>17</v>
      </c>
      <c r="N304" t="s">
        <v>14</v>
      </c>
      <c r="O304">
        <v>2.1</v>
      </c>
      <c r="P304" t="s">
        <v>18</v>
      </c>
    </row>
    <row r="305" spans="1:16">
      <c r="A305" t="s">
        <v>392</v>
      </c>
      <c r="B305">
        <v>46121.347662037035</v>
      </c>
      <c r="C305">
        <v>46121.47349449074</v>
      </c>
      <c r="D305">
        <v>46121.869715185188</v>
      </c>
      <c r="E305" t="s">
        <v>75</v>
      </c>
      <c r="F305" t="s">
        <v>5</v>
      </c>
      <c r="G305" t="s">
        <v>71</v>
      </c>
      <c r="H305" t="s">
        <v>72</v>
      </c>
      <c r="I305" t="s">
        <v>73</v>
      </c>
      <c r="J305" t="s">
        <v>40</v>
      </c>
      <c r="K305" t="s">
        <v>68</v>
      </c>
      <c r="L305">
        <v>5</v>
      </c>
      <c r="M305" t="s">
        <v>41</v>
      </c>
      <c r="N305" t="s">
        <v>27</v>
      </c>
      <c r="O305">
        <v>4.8</v>
      </c>
      <c r="P305" t="s">
        <v>39</v>
      </c>
    </row>
    <row r="306" spans="1:16">
      <c r="A306" t="s">
        <v>393</v>
      </c>
      <c r="B306">
        <v>46132.372685185182</v>
      </c>
      <c r="C306">
        <v>46132.820270868055</v>
      </c>
      <c r="D306">
        <v>46134.81492459491</v>
      </c>
      <c r="E306" t="s">
        <v>75</v>
      </c>
      <c r="F306" t="s">
        <v>6</v>
      </c>
      <c r="G306" t="s">
        <v>71</v>
      </c>
      <c r="H306" t="s">
        <v>66</v>
      </c>
      <c r="I306" t="s">
        <v>73</v>
      </c>
      <c r="J306" t="s">
        <v>40</v>
      </c>
      <c r="K306" t="s">
        <v>68</v>
      </c>
      <c r="L306">
        <v>4</v>
      </c>
      <c r="M306" t="s">
        <v>41</v>
      </c>
      <c r="N306" t="s">
        <v>27</v>
      </c>
      <c r="O306">
        <v>4.8</v>
      </c>
      <c r="P306" t="s">
        <v>39</v>
      </c>
    </row>
    <row r="307" spans="1:16">
      <c r="A307" t="s">
        <v>394</v>
      </c>
      <c r="B307">
        <v>46147.287418981483</v>
      </c>
      <c r="C307">
        <v>46147.719510057868</v>
      </c>
      <c r="D307">
        <v>46148.386666805556</v>
      </c>
      <c r="E307" t="s">
        <v>75</v>
      </c>
      <c r="F307" t="s">
        <v>6</v>
      </c>
      <c r="G307" t="s">
        <v>76</v>
      </c>
      <c r="H307" t="s">
        <v>84</v>
      </c>
      <c r="I307" t="s">
        <v>73</v>
      </c>
      <c r="J307" t="s">
        <v>28</v>
      </c>
      <c r="K307" t="s">
        <v>85</v>
      </c>
      <c r="L307">
        <v>3</v>
      </c>
      <c r="M307" t="s">
        <v>29</v>
      </c>
      <c r="N307" t="s">
        <v>27</v>
      </c>
      <c r="O307">
        <v>1.8</v>
      </c>
      <c r="P307" t="s">
        <v>30</v>
      </c>
    </row>
    <row r="308" spans="1:16">
      <c r="A308" t="s">
        <v>395</v>
      </c>
      <c r="B308">
        <v>46173.626689814817</v>
      </c>
      <c r="C308">
        <v>46173.707708402777</v>
      </c>
      <c r="D308">
        <v>46174.574689155095</v>
      </c>
      <c r="E308" t="s">
        <v>75</v>
      </c>
      <c r="F308" t="s">
        <v>5</v>
      </c>
      <c r="G308" t="s">
        <v>83</v>
      </c>
      <c r="H308" t="s">
        <v>109</v>
      </c>
      <c r="I308" t="s">
        <v>89</v>
      </c>
      <c r="J308" t="s">
        <v>34</v>
      </c>
      <c r="K308" t="s">
        <v>68</v>
      </c>
      <c r="L308">
        <v>5</v>
      </c>
      <c r="M308" t="s">
        <v>35</v>
      </c>
      <c r="N308" t="s">
        <v>33</v>
      </c>
      <c r="O308">
        <v>3</v>
      </c>
      <c r="P308" t="s">
        <v>36</v>
      </c>
    </row>
    <row r="309" spans="1:16">
      <c r="A309" t="s">
        <v>396</v>
      </c>
      <c r="B309">
        <v>46181.175729166665</v>
      </c>
      <c r="C309">
        <v>46181.234097835651</v>
      </c>
      <c r="D309">
        <v>46182.129642106484</v>
      </c>
      <c r="E309" t="s">
        <v>75</v>
      </c>
      <c r="F309" t="s">
        <v>5</v>
      </c>
      <c r="G309" t="s">
        <v>76</v>
      </c>
      <c r="H309" t="s">
        <v>109</v>
      </c>
      <c r="I309" t="s">
        <v>73</v>
      </c>
      <c r="J309" t="s">
        <v>40</v>
      </c>
      <c r="K309" t="s">
        <v>68</v>
      </c>
      <c r="L309">
        <v>4</v>
      </c>
      <c r="M309" t="s">
        <v>41</v>
      </c>
      <c r="N309" t="s">
        <v>27</v>
      </c>
      <c r="O309">
        <v>4.8</v>
      </c>
      <c r="P309" t="s">
        <v>39</v>
      </c>
    </row>
    <row r="310" spans="1:16">
      <c r="A310" t="s">
        <v>397</v>
      </c>
      <c r="B310">
        <v>46139.674953703703</v>
      </c>
      <c r="C310">
        <v>46140.289823530089</v>
      </c>
      <c r="D310">
        <v>46145.00151008102</v>
      </c>
      <c r="E310" t="s">
        <v>70</v>
      </c>
      <c r="F310" t="s">
        <v>6</v>
      </c>
      <c r="G310" t="s">
        <v>76</v>
      </c>
      <c r="H310" t="s">
        <v>80</v>
      </c>
      <c r="I310" t="s">
        <v>73</v>
      </c>
      <c r="J310" t="s">
        <v>28</v>
      </c>
      <c r="K310" t="s">
        <v>68</v>
      </c>
      <c r="L310">
        <v>4</v>
      </c>
      <c r="M310" t="s">
        <v>29</v>
      </c>
      <c r="N310" t="s">
        <v>27</v>
      </c>
      <c r="O310">
        <v>1.8</v>
      </c>
      <c r="P310" t="s">
        <v>30</v>
      </c>
    </row>
    <row r="311" spans="1:16">
      <c r="A311" t="s">
        <v>398</v>
      </c>
      <c r="B311">
        <v>46132.642199074071</v>
      </c>
      <c r="C311">
        <v>46132.795158738423</v>
      </c>
      <c r="D311">
        <v>46133.46038945602</v>
      </c>
      <c r="E311" t="s">
        <v>75</v>
      </c>
      <c r="F311" t="s">
        <v>5</v>
      </c>
      <c r="G311" t="s">
        <v>71</v>
      </c>
      <c r="H311" t="s">
        <v>109</v>
      </c>
      <c r="I311" t="s">
        <v>73</v>
      </c>
      <c r="J311" t="s">
        <v>40</v>
      </c>
      <c r="K311" t="s">
        <v>68</v>
      </c>
      <c r="L311">
        <v>4</v>
      </c>
      <c r="M311" t="s">
        <v>41</v>
      </c>
      <c r="N311" t="s">
        <v>27</v>
      </c>
      <c r="O311">
        <v>4.8</v>
      </c>
      <c r="P311" t="s">
        <v>39</v>
      </c>
    </row>
    <row r="312" spans="1:16">
      <c r="A312" t="s">
        <v>399</v>
      </c>
      <c r="B312">
        <v>46136.266539351855</v>
      </c>
      <c r="C312">
        <v>46136.520341111114</v>
      </c>
      <c r="D312">
        <v>46141.670099467592</v>
      </c>
      <c r="E312" t="s">
        <v>75</v>
      </c>
      <c r="F312" t="s">
        <v>6</v>
      </c>
      <c r="G312" t="s">
        <v>83</v>
      </c>
      <c r="H312" t="s">
        <v>109</v>
      </c>
      <c r="I312" t="s">
        <v>67</v>
      </c>
      <c r="J312" t="s">
        <v>34</v>
      </c>
      <c r="K312" t="s">
        <v>68</v>
      </c>
      <c r="L312">
        <v>3</v>
      </c>
      <c r="M312" t="s">
        <v>35</v>
      </c>
      <c r="N312" t="s">
        <v>33</v>
      </c>
      <c r="O312">
        <v>3</v>
      </c>
      <c r="P312" t="s">
        <v>36</v>
      </c>
    </row>
    <row r="313" spans="1:16">
      <c r="A313" t="s">
        <v>400</v>
      </c>
      <c r="B313">
        <v>46135.414398148147</v>
      </c>
      <c r="C313">
        <v>46135.456522916669</v>
      </c>
      <c r="D313">
        <v>46136.21687704861</v>
      </c>
      <c r="E313" t="s">
        <v>75</v>
      </c>
      <c r="F313" t="s">
        <v>5</v>
      </c>
      <c r="G313" t="s">
        <v>94</v>
      </c>
      <c r="H313" t="s">
        <v>88</v>
      </c>
      <c r="I313" t="s">
        <v>73</v>
      </c>
      <c r="J313" t="s">
        <v>16</v>
      </c>
      <c r="K313" t="s">
        <v>68</v>
      </c>
      <c r="L313">
        <v>4</v>
      </c>
      <c r="M313" t="s">
        <v>17</v>
      </c>
      <c r="N313" t="s">
        <v>14</v>
      </c>
      <c r="O313">
        <v>2.1</v>
      </c>
      <c r="P313" t="s">
        <v>18</v>
      </c>
    </row>
    <row r="314" spans="1:16">
      <c r="A314" t="s">
        <v>401</v>
      </c>
      <c r="B314">
        <v>46200.582928240743</v>
      </c>
      <c r="C314">
        <v>46200.61907375</v>
      </c>
      <c r="D314">
        <v>46201.064412395834</v>
      </c>
      <c r="E314" t="s">
        <v>70</v>
      </c>
      <c r="F314" t="s">
        <v>4</v>
      </c>
      <c r="G314" t="s">
        <v>71</v>
      </c>
      <c r="H314" t="s">
        <v>84</v>
      </c>
      <c r="I314" t="s">
        <v>73</v>
      </c>
      <c r="J314" t="s">
        <v>25</v>
      </c>
      <c r="K314" t="s">
        <v>68</v>
      </c>
      <c r="L314">
        <v>4</v>
      </c>
      <c r="M314" t="s">
        <v>26</v>
      </c>
      <c r="N314" t="s">
        <v>27</v>
      </c>
      <c r="O314">
        <v>6.3</v>
      </c>
      <c r="P314" t="s">
        <v>15</v>
      </c>
    </row>
    <row r="315" spans="1:16">
      <c r="A315" t="s">
        <v>402</v>
      </c>
      <c r="B315">
        <v>46131.579872685186</v>
      </c>
      <c r="C315">
        <v>46131.586164328706</v>
      </c>
      <c r="D315">
        <v>46131.62148577546</v>
      </c>
      <c r="E315" t="s">
        <v>75</v>
      </c>
      <c r="F315" t="s">
        <v>3</v>
      </c>
      <c r="G315" t="s">
        <v>65</v>
      </c>
      <c r="H315" t="s">
        <v>88</v>
      </c>
      <c r="I315" t="s">
        <v>89</v>
      </c>
      <c r="J315" t="s">
        <v>42</v>
      </c>
      <c r="K315" t="s">
        <v>68</v>
      </c>
      <c r="L315">
        <v>4</v>
      </c>
      <c r="M315" t="s">
        <v>43</v>
      </c>
      <c r="N315" t="s">
        <v>21</v>
      </c>
      <c r="O315">
        <v>2.7</v>
      </c>
      <c r="P315" t="s">
        <v>36</v>
      </c>
    </row>
    <row r="316" spans="1:16">
      <c r="A316" t="s">
        <v>403</v>
      </c>
      <c r="B316">
        <v>46153.00340277778</v>
      </c>
      <c r="C316">
        <v>46153.017365844906</v>
      </c>
      <c r="D316">
        <v>46153.137435752316</v>
      </c>
      <c r="E316" t="s">
        <v>75</v>
      </c>
      <c r="F316" t="s">
        <v>3</v>
      </c>
      <c r="G316" t="s">
        <v>105</v>
      </c>
      <c r="H316" t="s">
        <v>72</v>
      </c>
      <c r="I316" t="s">
        <v>67</v>
      </c>
      <c r="J316" t="s">
        <v>34</v>
      </c>
      <c r="K316" t="s">
        <v>68</v>
      </c>
      <c r="L316">
        <v>4</v>
      </c>
      <c r="M316" t="s">
        <v>35</v>
      </c>
      <c r="N316" t="s">
        <v>33</v>
      </c>
      <c r="O316">
        <v>3</v>
      </c>
      <c r="P316" t="s">
        <v>36</v>
      </c>
    </row>
    <row r="317" spans="1:16">
      <c r="A317" t="s">
        <v>404</v>
      </c>
      <c r="B317">
        <v>46172.704560185186</v>
      </c>
      <c r="C317">
        <v>46172.735129803237</v>
      </c>
      <c r="D317">
        <v>46173.076424270832</v>
      </c>
      <c r="E317" t="s">
        <v>75</v>
      </c>
      <c r="F317" t="s">
        <v>4</v>
      </c>
      <c r="G317" t="s">
        <v>83</v>
      </c>
      <c r="H317" t="s">
        <v>109</v>
      </c>
      <c r="I317" t="s">
        <v>73</v>
      </c>
      <c r="J317" t="s">
        <v>44</v>
      </c>
      <c r="K317" t="s">
        <v>68</v>
      </c>
      <c r="L317">
        <v>4</v>
      </c>
      <c r="M317" t="s">
        <v>45</v>
      </c>
      <c r="N317" t="s">
        <v>33</v>
      </c>
      <c r="O317">
        <v>5.0999999999999996</v>
      </c>
      <c r="P317" t="s">
        <v>30</v>
      </c>
    </row>
    <row r="318" spans="1:16">
      <c r="A318" t="s">
        <v>405</v>
      </c>
      <c r="B318">
        <v>46151.979166666664</v>
      </c>
      <c r="C318">
        <v>46152.180013425925</v>
      </c>
      <c r="D318">
        <v>46153.048950763892</v>
      </c>
      <c r="E318" t="s">
        <v>75</v>
      </c>
      <c r="F318" t="s">
        <v>6</v>
      </c>
      <c r="G318" t="s">
        <v>98</v>
      </c>
      <c r="H318" t="s">
        <v>77</v>
      </c>
      <c r="I318" t="s">
        <v>73</v>
      </c>
      <c r="J318" t="s">
        <v>16</v>
      </c>
      <c r="K318" t="s">
        <v>68</v>
      </c>
      <c r="L318">
        <v>5</v>
      </c>
      <c r="M318" t="s">
        <v>17</v>
      </c>
      <c r="N318" t="s">
        <v>14</v>
      </c>
      <c r="O318">
        <v>2.1</v>
      </c>
      <c r="P318" t="s">
        <v>18</v>
      </c>
    </row>
    <row r="319" spans="1:16">
      <c r="A319" t="s">
        <v>406</v>
      </c>
      <c r="B319">
        <v>46200.163969907408</v>
      </c>
      <c r="C319">
        <v>46200.172253113429</v>
      </c>
      <c r="D319">
        <v>46200.231574502315</v>
      </c>
      <c r="E319" t="s">
        <v>75</v>
      </c>
      <c r="F319" t="s">
        <v>3</v>
      </c>
      <c r="G319" t="s">
        <v>105</v>
      </c>
      <c r="H319" t="s">
        <v>106</v>
      </c>
      <c r="I319" t="s">
        <v>73</v>
      </c>
      <c r="J319" t="s">
        <v>34</v>
      </c>
      <c r="K319" t="s">
        <v>68</v>
      </c>
      <c r="L319">
        <v>5</v>
      </c>
      <c r="M319" t="s">
        <v>35</v>
      </c>
      <c r="N319" t="s">
        <v>33</v>
      </c>
      <c r="O319">
        <v>3</v>
      </c>
      <c r="P319" t="s">
        <v>36</v>
      </c>
    </row>
    <row r="320" spans="1:16">
      <c r="A320" t="s">
        <v>407</v>
      </c>
      <c r="B320">
        <v>46184.526041666664</v>
      </c>
      <c r="C320">
        <v>46184.530329513887</v>
      </c>
      <c r="D320">
        <v>46184.610333599536</v>
      </c>
      <c r="E320" t="s">
        <v>75</v>
      </c>
      <c r="F320" t="s">
        <v>3</v>
      </c>
      <c r="G320" t="s">
        <v>65</v>
      </c>
      <c r="H320" t="s">
        <v>106</v>
      </c>
      <c r="I320" t="s">
        <v>89</v>
      </c>
      <c r="J320" t="s">
        <v>23</v>
      </c>
      <c r="K320" t="s">
        <v>68</v>
      </c>
      <c r="L320">
        <v>5</v>
      </c>
      <c r="M320" t="s">
        <v>24</v>
      </c>
      <c r="N320" t="s">
        <v>21</v>
      </c>
      <c r="O320">
        <v>3.4</v>
      </c>
      <c r="P320" t="s">
        <v>22</v>
      </c>
    </row>
    <row r="321" spans="1:16">
      <c r="A321" t="s">
        <v>408</v>
      </c>
      <c r="B321">
        <v>46177.367372685185</v>
      </c>
      <c r="C321">
        <v>46177.409125208331</v>
      </c>
      <c r="D321">
        <v>46178.231405625003</v>
      </c>
      <c r="E321" t="s">
        <v>70</v>
      </c>
      <c r="F321" t="s">
        <v>5</v>
      </c>
      <c r="G321" t="s">
        <v>98</v>
      </c>
      <c r="H321" t="s">
        <v>84</v>
      </c>
      <c r="I321" t="s">
        <v>73</v>
      </c>
      <c r="J321" t="s">
        <v>12</v>
      </c>
      <c r="K321" t="s">
        <v>68</v>
      </c>
      <c r="L321">
        <v>4</v>
      </c>
      <c r="M321" t="s">
        <v>13</v>
      </c>
      <c r="N321" t="s">
        <v>14</v>
      </c>
      <c r="O321">
        <v>4.2</v>
      </c>
      <c r="P321" t="s">
        <v>15</v>
      </c>
    </row>
    <row r="322" spans="1:16">
      <c r="A322" t="s">
        <v>96</v>
      </c>
      <c r="B322">
        <v>46119.218229166669</v>
      </c>
      <c r="C322">
        <v>46119.301877071761</v>
      </c>
      <c r="D322">
        <v>46119.643982824076</v>
      </c>
      <c r="E322" t="s">
        <v>75</v>
      </c>
      <c r="F322" t="s">
        <v>5</v>
      </c>
      <c r="G322" t="s">
        <v>94</v>
      </c>
      <c r="H322" t="s">
        <v>66</v>
      </c>
      <c r="I322" t="s">
        <v>73</v>
      </c>
      <c r="J322" t="s">
        <v>12</v>
      </c>
      <c r="K322" t="s">
        <v>68</v>
      </c>
      <c r="L322">
        <v>4</v>
      </c>
      <c r="M322" t="s">
        <v>13</v>
      </c>
      <c r="N322" t="s">
        <v>14</v>
      </c>
      <c r="O322">
        <v>4.2</v>
      </c>
      <c r="P322" t="s">
        <v>15</v>
      </c>
    </row>
    <row r="323" spans="1:16">
      <c r="A323" t="s">
        <v>156</v>
      </c>
      <c r="B323">
        <v>46183.941620370373</v>
      </c>
      <c r="C323">
        <v>46184.130933032407</v>
      </c>
      <c r="D323">
        <v>46184.365257627316</v>
      </c>
      <c r="E323" t="s">
        <v>75</v>
      </c>
      <c r="F323" t="s">
        <v>5</v>
      </c>
      <c r="G323" t="s">
        <v>105</v>
      </c>
      <c r="H323" t="s">
        <v>88</v>
      </c>
      <c r="I323" t="s">
        <v>89</v>
      </c>
      <c r="J323" t="s">
        <v>44</v>
      </c>
      <c r="K323" t="s">
        <v>85</v>
      </c>
      <c r="L323">
        <v>2</v>
      </c>
      <c r="M323" t="s">
        <v>45</v>
      </c>
      <c r="N323" t="s">
        <v>33</v>
      </c>
      <c r="O323">
        <v>5.0999999999999996</v>
      </c>
      <c r="P323" t="s">
        <v>30</v>
      </c>
    </row>
    <row r="324" spans="1:16">
      <c r="A324" t="s">
        <v>233</v>
      </c>
      <c r="B324">
        <v>46122.368969907409</v>
      </c>
      <c r="C324">
        <v>46122.700440289351</v>
      </c>
      <c r="D324">
        <v>46122.910174548611</v>
      </c>
      <c r="E324" t="s">
        <v>75</v>
      </c>
      <c r="F324" t="s">
        <v>5</v>
      </c>
      <c r="G324" t="s">
        <v>76</v>
      </c>
      <c r="H324" t="s">
        <v>409</v>
      </c>
      <c r="I324" t="s">
        <v>73</v>
      </c>
      <c r="J324" t="s">
        <v>28</v>
      </c>
      <c r="K324" t="s">
        <v>68</v>
      </c>
      <c r="L324">
        <v>4</v>
      </c>
      <c r="M324" t="s">
        <v>29</v>
      </c>
      <c r="N324" t="s">
        <v>27</v>
      </c>
      <c r="O324">
        <v>1.8</v>
      </c>
      <c r="P324" t="s">
        <v>30</v>
      </c>
    </row>
    <row r="325" spans="1:16">
      <c r="A325" t="s">
        <v>308</v>
      </c>
      <c r="B325">
        <v>46132.913854166669</v>
      </c>
      <c r="C325">
        <v>46133.056981979164</v>
      </c>
      <c r="D325">
        <v>46133.676052627314</v>
      </c>
      <c r="E325" t="s">
        <v>70</v>
      </c>
      <c r="F325" t="s">
        <v>5</v>
      </c>
      <c r="G325" t="s">
        <v>94</v>
      </c>
      <c r="H325" t="s">
        <v>109</v>
      </c>
      <c r="I325" t="s">
        <v>92</v>
      </c>
      <c r="J325" t="s">
        <v>12</v>
      </c>
      <c r="K325" t="s">
        <v>68</v>
      </c>
      <c r="L325">
        <v>3</v>
      </c>
      <c r="M325" t="s">
        <v>13</v>
      </c>
      <c r="N325" t="s">
        <v>14</v>
      </c>
      <c r="O325">
        <v>4.2</v>
      </c>
      <c r="P325" t="s">
        <v>15</v>
      </c>
    </row>
    <row r="326" spans="1:16">
      <c r="A326" t="s">
        <v>376</v>
      </c>
      <c r="B326">
        <v>46116.586851851855</v>
      </c>
      <c r="C326">
        <v>46116.629503657408</v>
      </c>
      <c r="D326">
        <v>46117.839133437497</v>
      </c>
      <c r="E326" t="s">
        <v>75</v>
      </c>
      <c r="F326" t="s">
        <v>5</v>
      </c>
      <c r="G326" t="s">
        <v>79</v>
      </c>
      <c r="H326" t="s">
        <v>410</v>
      </c>
      <c r="I326" t="s">
        <v>73</v>
      </c>
      <c r="J326" t="s">
        <v>12</v>
      </c>
      <c r="K326" t="s">
        <v>68</v>
      </c>
      <c r="L326">
        <v>4</v>
      </c>
      <c r="M326" t="s">
        <v>13</v>
      </c>
      <c r="N326" t="s">
        <v>14</v>
      </c>
      <c r="O326">
        <v>4.2</v>
      </c>
      <c r="P326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workbookViewId="0"/>
  </sheetViews>
  <sheetFormatPr defaultRowHeight="14"/>
  <cols>
    <col min="1" max="23" width="14" customWidth="1"/>
  </cols>
  <sheetData>
    <row r="1" spans="1:23" ht="28">
      <c r="A1" s="7" t="s">
        <v>49</v>
      </c>
      <c r="B1" s="8" t="s">
        <v>50</v>
      </c>
      <c r="C1" s="8" t="s">
        <v>51</v>
      </c>
      <c r="D1" s="8" t="s">
        <v>52</v>
      </c>
      <c r="E1" s="7" t="s">
        <v>53</v>
      </c>
      <c r="F1" s="7" t="s">
        <v>0</v>
      </c>
      <c r="G1" s="7" t="s">
        <v>54</v>
      </c>
      <c r="H1" s="7" t="s">
        <v>55</v>
      </c>
      <c r="I1" s="7" t="s">
        <v>56</v>
      </c>
      <c r="J1" s="7" t="s">
        <v>7</v>
      </c>
      <c r="K1" s="7" t="s">
        <v>57</v>
      </c>
      <c r="L1" s="10" t="s">
        <v>58</v>
      </c>
      <c r="M1" s="9" t="s">
        <v>411</v>
      </c>
      <c r="N1" s="9" t="s">
        <v>412</v>
      </c>
      <c r="O1" s="9" t="s">
        <v>413</v>
      </c>
      <c r="P1" s="9" t="s">
        <v>414</v>
      </c>
      <c r="Q1" s="7" t="s">
        <v>415</v>
      </c>
      <c r="R1" s="7" t="s">
        <v>416</v>
      </c>
      <c r="S1" s="7" t="s">
        <v>59</v>
      </c>
      <c r="T1" s="7" t="s">
        <v>60</v>
      </c>
      <c r="U1" s="7" t="s">
        <v>61</v>
      </c>
      <c r="V1" s="7" t="s">
        <v>62</v>
      </c>
      <c r="W1" s="7" t="s">
        <v>417</v>
      </c>
    </row>
    <row r="2" spans="1:23">
      <c r="A2" t="s">
        <v>63</v>
      </c>
      <c r="B2">
        <v>46175.415509259263</v>
      </c>
      <c r="C2">
        <v>46175.666116828703</v>
      </c>
      <c r="E2" t="s">
        <v>64</v>
      </c>
      <c r="F2" t="s">
        <v>5</v>
      </c>
      <c r="G2" t="s">
        <v>65</v>
      </c>
      <c r="H2" t="s">
        <v>66</v>
      </c>
      <c r="I2" t="s">
        <v>67</v>
      </c>
      <c r="J2" t="s">
        <v>19</v>
      </c>
      <c r="K2" t="s">
        <v>68</v>
      </c>
      <c r="M2">
        <f t="shared" ref="M2:M65" si="0">IF(OR(B2="",C2=""),"",24*(C2-B2))</f>
        <v>6.0145816665608436</v>
      </c>
      <c r="N2" t="str">
        <f t="shared" ref="N2:N65" si="1">IF(OR(B2="",D2=""),"",24*(D2-B2))</f>
        <v/>
      </c>
      <c r="O2">
        <f>VLOOKUP(F2,SLA_Targets!$A$2:$C$5,2,FALSE)</f>
        <v>4</v>
      </c>
      <c r="P2">
        <f>VLOOKUP(F2,SLA_Targets!$A$2:$C$5,3,FALSE)</f>
        <v>24</v>
      </c>
      <c r="Q2" t="str">
        <f t="shared" ref="Q2:Q65" si="2">IF(M2="","Pending",IF(M2&lt;=O2,"Met","Breached"))</f>
        <v>Breached</v>
      </c>
      <c r="R2" t="str">
        <f t="shared" ref="R2:R65" si="3">IF(N2="","Pending",IF(N2&lt;=P2,"Met","Breached"))</f>
        <v>Pending</v>
      </c>
      <c r="S2" t="s">
        <v>20</v>
      </c>
      <c r="T2" t="s">
        <v>21</v>
      </c>
      <c r="U2">
        <v>5.6</v>
      </c>
      <c r="V2" t="s">
        <v>22</v>
      </c>
      <c r="W2">
        <f t="shared" ref="W2:W65" si="4">COUNTIF($A$2:$A$321,A2)</f>
        <v>1</v>
      </c>
    </row>
    <row r="3" spans="1:23">
      <c r="A3" t="s">
        <v>69</v>
      </c>
      <c r="B3">
        <v>46135.922465277778</v>
      </c>
      <c r="C3">
        <v>46135.937566805558</v>
      </c>
      <c r="D3">
        <v>46136.028382974539</v>
      </c>
      <c r="E3" t="s">
        <v>70</v>
      </c>
      <c r="F3" t="s">
        <v>3</v>
      </c>
      <c r="G3" t="s">
        <v>71</v>
      </c>
      <c r="H3" t="s">
        <v>72</v>
      </c>
      <c r="I3" t="s">
        <v>73</v>
      </c>
      <c r="J3" t="s">
        <v>25</v>
      </c>
      <c r="K3" t="s">
        <v>68</v>
      </c>
      <c r="L3">
        <v>4</v>
      </c>
      <c r="M3">
        <f t="shared" si="0"/>
        <v>0.36243666673544794</v>
      </c>
      <c r="N3">
        <f t="shared" si="1"/>
        <v>2.542024722264614</v>
      </c>
      <c r="O3">
        <f>VLOOKUP(F3,SLA_Targets!$A$2:$C$5,2,FALSE)</f>
        <v>0.5</v>
      </c>
      <c r="P3">
        <f>VLOOKUP(F3,SLA_Targets!$A$2:$C$5,3,FALSE)</f>
        <v>4</v>
      </c>
      <c r="Q3" t="str">
        <f t="shared" si="2"/>
        <v>Met</v>
      </c>
      <c r="R3" t="str">
        <f t="shared" si="3"/>
        <v>Met</v>
      </c>
      <c r="S3" t="s">
        <v>26</v>
      </c>
      <c r="T3" t="s">
        <v>27</v>
      </c>
      <c r="U3">
        <v>6.3</v>
      </c>
      <c r="V3" t="s">
        <v>15</v>
      </c>
      <c r="W3">
        <f t="shared" si="4"/>
        <v>1</v>
      </c>
    </row>
    <row r="4" spans="1:23">
      <c r="A4" t="s">
        <v>74</v>
      </c>
      <c r="B4">
        <v>46146.728113425925</v>
      </c>
      <c r="C4">
        <v>46146.813898101849</v>
      </c>
      <c r="D4">
        <v>46148.227404942132</v>
      </c>
      <c r="E4" t="s">
        <v>75</v>
      </c>
      <c r="F4" t="s">
        <v>5</v>
      </c>
      <c r="G4" t="s">
        <v>76</v>
      </c>
      <c r="H4" t="s">
        <v>77</v>
      </c>
      <c r="I4" t="s">
        <v>73</v>
      </c>
      <c r="J4" t="s">
        <v>40</v>
      </c>
      <c r="K4" t="s">
        <v>68</v>
      </c>
      <c r="L4">
        <v>4</v>
      </c>
      <c r="M4">
        <f t="shared" si="0"/>
        <v>2.0588322221883573</v>
      </c>
      <c r="N4">
        <f t="shared" si="1"/>
        <v>35.98299638897879</v>
      </c>
      <c r="O4">
        <f>VLOOKUP(F4,SLA_Targets!$A$2:$C$5,2,FALSE)</f>
        <v>4</v>
      </c>
      <c r="P4">
        <f>VLOOKUP(F4,SLA_Targets!$A$2:$C$5,3,FALSE)</f>
        <v>24</v>
      </c>
      <c r="Q4" t="str">
        <f t="shared" si="2"/>
        <v>Met</v>
      </c>
      <c r="R4" t="str">
        <f t="shared" si="3"/>
        <v>Breached</v>
      </c>
      <c r="S4" t="s">
        <v>41</v>
      </c>
      <c r="T4" t="s">
        <v>27</v>
      </c>
      <c r="U4">
        <v>4.8</v>
      </c>
      <c r="V4" t="s">
        <v>39</v>
      </c>
      <c r="W4">
        <f t="shared" si="4"/>
        <v>1</v>
      </c>
    </row>
    <row r="5" spans="1:23">
      <c r="A5" t="s">
        <v>78</v>
      </c>
      <c r="B5">
        <v>46188.390821759262</v>
      </c>
      <c r="C5">
        <v>46188.408408564814</v>
      </c>
      <c r="D5">
        <v>46188.517148888888</v>
      </c>
      <c r="E5" t="s">
        <v>70</v>
      </c>
      <c r="F5" t="s">
        <v>3</v>
      </c>
      <c r="G5" t="s">
        <v>79</v>
      </c>
      <c r="H5" t="s">
        <v>80</v>
      </c>
      <c r="I5" t="s">
        <v>73</v>
      </c>
      <c r="J5" t="s">
        <v>12</v>
      </c>
      <c r="K5" t="s">
        <v>68</v>
      </c>
      <c r="L5">
        <v>4</v>
      </c>
      <c r="M5">
        <f t="shared" si="0"/>
        <v>0.42208333325106651</v>
      </c>
      <c r="N5">
        <f t="shared" si="1"/>
        <v>3.0318511110381223</v>
      </c>
      <c r="O5">
        <f>VLOOKUP(F5,SLA_Targets!$A$2:$C$5,2,FALSE)</f>
        <v>0.5</v>
      </c>
      <c r="P5">
        <f>VLOOKUP(F5,SLA_Targets!$A$2:$C$5,3,FALSE)</f>
        <v>4</v>
      </c>
      <c r="Q5" t="str">
        <f t="shared" si="2"/>
        <v>Met</v>
      </c>
      <c r="R5" t="str">
        <f t="shared" si="3"/>
        <v>Met</v>
      </c>
      <c r="S5" t="s">
        <v>13</v>
      </c>
      <c r="T5" t="s">
        <v>14</v>
      </c>
      <c r="U5">
        <v>4.2</v>
      </c>
      <c r="V5" t="s">
        <v>15</v>
      </c>
      <c r="W5">
        <f t="shared" si="4"/>
        <v>1</v>
      </c>
    </row>
    <row r="6" spans="1:23">
      <c r="A6" t="s">
        <v>81</v>
      </c>
      <c r="B6">
        <v>46184.124513888892</v>
      </c>
      <c r="C6">
        <v>46184.247696203704</v>
      </c>
      <c r="D6">
        <v>46186.191882245374</v>
      </c>
      <c r="E6" t="s">
        <v>75</v>
      </c>
      <c r="F6" t="s">
        <v>5</v>
      </c>
      <c r="G6" t="s">
        <v>79</v>
      </c>
      <c r="H6" t="s">
        <v>66</v>
      </c>
      <c r="I6" t="s">
        <v>73</v>
      </c>
      <c r="J6" t="s">
        <v>16</v>
      </c>
      <c r="K6" t="s">
        <v>68</v>
      </c>
      <c r="L6">
        <v>3</v>
      </c>
      <c r="M6">
        <f t="shared" si="0"/>
        <v>2.9563755554845557</v>
      </c>
      <c r="N6">
        <f t="shared" si="1"/>
        <v>49.616840555565432</v>
      </c>
      <c r="O6">
        <f>VLOOKUP(F6,SLA_Targets!$A$2:$C$5,2,FALSE)</f>
        <v>4</v>
      </c>
      <c r="P6">
        <f>VLOOKUP(F6,SLA_Targets!$A$2:$C$5,3,FALSE)</f>
        <v>24</v>
      </c>
      <c r="Q6" t="str">
        <f t="shared" si="2"/>
        <v>Met</v>
      </c>
      <c r="R6" t="str">
        <f t="shared" si="3"/>
        <v>Breached</v>
      </c>
      <c r="S6" t="s">
        <v>17</v>
      </c>
      <c r="T6" t="s">
        <v>14</v>
      </c>
      <c r="U6">
        <v>2.1</v>
      </c>
      <c r="V6" t="s">
        <v>18</v>
      </c>
      <c r="W6">
        <f t="shared" si="4"/>
        <v>1</v>
      </c>
    </row>
    <row r="7" spans="1:23">
      <c r="A7" t="s">
        <v>82</v>
      </c>
      <c r="B7">
        <v>46199.227546296293</v>
      </c>
      <c r="C7">
        <v>46199.275558657406</v>
      </c>
      <c r="D7">
        <v>46199.510101527776</v>
      </c>
      <c r="E7" t="s">
        <v>70</v>
      </c>
      <c r="F7" t="s">
        <v>4</v>
      </c>
      <c r="G7" t="s">
        <v>83</v>
      </c>
      <c r="H7" t="s">
        <v>84</v>
      </c>
      <c r="I7" t="s">
        <v>67</v>
      </c>
      <c r="J7" t="s">
        <v>34</v>
      </c>
      <c r="K7" t="s">
        <v>85</v>
      </c>
      <c r="L7">
        <v>2</v>
      </c>
      <c r="M7">
        <f t="shared" si="0"/>
        <v>1.152296666696202</v>
      </c>
      <c r="N7">
        <f t="shared" si="1"/>
        <v>6.7813255555811338</v>
      </c>
      <c r="O7">
        <f>VLOOKUP(F7,SLA_Targets!$A$2:$C$5,2,FALSE)</f>
        <v>1</v>
      </c>
      <c r="P7">
        <f>VLOOKUP(F7,SLA_Targets!$A$2:$C$5,3,FALSE)</f>
        <v>8</v>
      </c>
      <c r="Q7" t="str">
        <f t="shared" si="2"/>
        <v>Breached</v>
      </c>
      <c r="R7" t="str">
        <f t="shared" si="3"/>
        <v>Met</v>
      </c>
      <c r="S7" t="s">
        <v>35</v>
      </c>
      <c r="T7" t="s">
        <v>33</v>
      </c>
      <c r="U7">
        <v>3</v>
      </c>
      <c r="V7" t="s">
        <v>36</v>
      </c>
      <c r="W7">
        <f t="shared" si="4"/>
        <v>1</v>
      </c>
    </row>
    <row r="8" spans="1:23">
      <c r="A8" t="s">
        <v>86</v>
      </c>
      <c r="B8">
        <v>46196.938125000001</v>
      </c>
      <c r="C8">
        <v>46196.981556458333</v>
      </c>
      <c r="D8">
        <v>46197.224693067132</v>
      </c>
      <c r="E8" t="s">
        <v>75</v>
      </c>
      <c r="F8" t="s">
        <v>4</v>
      </c>
      <c r="G8" t="s">
        <v>65</v>
      </c>
      <c r="H8" t="s">
        <v>72</v>
      </c>
      <c r="I8" t="s">
        <v>73</v>
      </c>
      <c r="J8" t="s">
        <v>42</v>
      </c>
      <c r="K8" t="s">
        <v>68</v>
      </c>
      <c r="L8">
        <v>4</v>
      </c>
      <c r="M8">
        <f t="shared" si="0"/>
        <v>1.0423549999832176</v>
      </c>
      <c r="N8">
        <f t="shared" si="1"/>
        <v>6.8776336111477576</v>
      </c>
      <c r="O8">
        <f>VLOOKUP(F8,SLA_Targets!$A$2:$C$5,2,FALSE)</f>
        <v>1</v>
      </c>
      <c r="P8">
        <f>VLOOKUP(F8,SLA_Targets!$A$2:$C$5,3,FALSE)</f>
        <v>8</v>
      </c>
      <c r="Q8" t="str">
        <f t="shared" si="2"/>
        <v>Breached</v>
      </c>
      <c r="R8" t="str">
        <f t="shared" si="3"/>
        <v>Met</v>
      </c>
      <c r="S8" t="s">
        <v>43</v>
      </c>
      <c r="T8" t="s">
        <v>21</v>
      </c>
      <c r="U8">
        <v>2.7</v>
      </c>
      <c r="V8" t="s">
        <v>36</v>
      </c>
      <c r="W8">
        <f t="shared" si="4"/>
        <v>1</v>
      </c>
    </row>
    <row r="9" spans="1:23">
      <c r="A9" t="s">
        <v>87</v>
      </c>
      <c r="B9">
        <v>46124.163969907408</v>
      </c>
      <c r="C9">
        <v>46124.178707222221</v>
      </c>
      <c r="D9">
        <v>46124.693274398145</v>
      </c>
      <c r="E9" t="s">
        <v>75</v>
      </c>
      <c r="F9" t="s">
        <v>4</v>
      </c>
      <c r="G9" t="s">
        <v>79</v>
      </c>
      <c r="H9" t="s">
        <v>88</v>
      </c>
      <c r="I9" t="s">
        <v>89</v>
      </c>
      <c r="J9" t="s">
        <v>12</v>
      </c>
      <c r="K9" t="s">
        <v>68</v>
      </c>
      <c r="L9">
        <v>5</v>
      </c>
      <c r="M9">
        <f t="shared" si="0"/>
        <v>0.35369555553188547</v>
      </c>
      <c r="N9">
        <f t="shared" si="1"/>
        <v>12.703307777701411</v>
      </c>
      <c r="O9">
        <f>VLOOKUP(F9,SLA_Targets!$A$2:$C$5,2,FALSE)</f>
        <v>1</v>
      </c>
      <c r="P9">
        <f>VLOOKUP(F9,SLA_Targets!$A$2:$C$5,3,FALSE)</f>
        <v>8</v>
      </c>
      <c r="Q9" t="str">
        <f t="shared" si="2"/>
        <v>Met</v>
      </c>
      <c r="R9" t="str">
        <f t="shared" si="3"/>
        <v>Breached</v>
      </c>
      <c r="S9" t="s">
        <v>13</v>
      </c>
      <c r="T9" t="s">
        <v>14</v>
      </c>
      <c r="U9">
        <v>4.2</v>
      </c>
      <c r="V9" t="s">
        <v>15</v>
      </c>
      <c r="W9">
        <f t="shared" si="4"/>
        <v>1</v>
      </c>
    </row>
    <row r="10" spans="1:23">
      <c r="A10" t="s">
        <v>90</v>
      </c>
      <c r="B10">
        <v>46202.510196759256</v>
      </c>
      <c r="C10">
        <v>46202.522049155094</v>
      </c>
      <c r="D10">
        <v>46202.588965960647</v>
      </c>
      <c r="E10" t="s">
        <v>70</v>
      </c>
      <c r="F10" t="s">
        <v>3</v>
      </c>
      <c r="G10" t="s">
        <v>65</v>
      </c>
      <c r="H10" t="s">
        <v>80</v>
      </c>
      <c r="I10" t="s">
        <v>67</v>
      </c>
      <c r="J10" t="s">
        <v>19</v>
      </c>
      <c r="K10" t="s">
        <v>68</v>
      </c>
      <c r="L10">
        <v>4</v>
      </c>
      <c r="M10">
        <f t="shared" si="0"/>
        <v>0.28445750009268522</v>
      </c>
      <c r="N10">
        <f t="shared" si="1"/>
        <v>1.8904608333832584</v>
      </c>
      <c r="O10">
        <f>VLOOKUP(F10,SLA_Targets!$A$2:$C$5,2,FALSE)</f>
        <v>0.5</v>
      </c>
      <c r="P10">
        <f>VLOOKUP(F10,SLA_Targets!$A$2:$C$5,3,FALSE)</f>
        <v>4</v>
      </c>
      <c r="Q10" t="str">
        <f t="shared" si="2"/>
        <v>Met</v>
      </c>
      <c r="R10" t="str">
        <f t="shared" si="3"/>
        <v>Met</v>
      </c>
      <c r="S10" t="s">
        <v>20</v>
      </c>
      <c r="T10" t="s">
        <v>21</v>
      </c>
      <c r="U10">
        <v>5.6</v>
      </c>
      <c r="V10" t="s">
        <v>22</v>
      </c>
      <c r="W10">
        <f t="shared" si="4"/>
        <v>1</v>
      </c>
    </row>
    <row r="11" spans="1:23">
      <c r="A11" t="s">
        <v>91</v>
      </c>
      <c r="B11">
        <v>46159.478668981479</v>
      </c>
      <c r="C11">
        <v>46159.508416400466</v>
      </c>
      <c r="D11">
        <v>46159.689671655091</v>
      </c>
      <c r="E11" t="s">
        <v>75</v>
      </c>
      <c r="F11" t="s">
        <v>3</v>
      </c>
      <c r="G11" t="s">
        <v>83</v>
      </c>
      <c r="H11" t="s">
        <v>72</v>
      </c>
      <c r="I11" t="s">
        <v>92</v>
      </c>
      <c r="J11" t="s">
        <v>44</v>
      </c>
      <c r="K11" t="s">
        <v>68</v>
      </c>
      <c r="L11">
        <v>3</v>
      </c>
      <c r="M11">
        <f t="shared" si="0"/>
        <v>0.71393805567640811</v>
      </c>
      <c r="N11">
        <f t="shared" si="1"/>
        <v>5.064064166683238</v>
      </c>
      <c r="O11">
        <f>VLOOKUP(F11,SLA_Targets!$A$2:$C$5,2,FALSE)</f>
        <v>0.5</v>
      </c>
      <c r="P11">
        <f>VLOOKUP(F11,SLA_Targets!$A$2:$C$5,3,FALSE)</f>
        <v>4</v>
      </c>
      <c r="Q11" t="str">
        <f t="shared" si="2"/>
        <v>Breached</v>
      </c>
      <c r="R11" t="str">
        <f t="shared" si="3"/>
        <v>Breached</v>
      </c>
      <c r="S11" t="s">
        <v>45</v>
      </c>
      <c r="T11" t="s">
        <v>33</v>
      </c>
      <c r="U11">
        <v>5.0999999999999996</v>
      </c>
      <c r="V11" t="s">
        <v>30</v>
      </c>
      <c r="W11">
        <f t="shared" si="4"/>
        <v>1</v>
      </c>
    </row>
    <row r="12" spans="1:23">
      <c r="A12" t="s">
        <v>93</v>
      </c>
      <c r="B12">
        <v>46119.549629629626</v>
      </c>
      <c r="C12">
        <v>46119.653155474538</v>
      </c>
      <c r="D12">
        <v>46119.880261469909</v>
      </c>
      <c r="E12" t="s">
        <v>75</v>
      </c>
      <c r="F12" t="s">
        <v>5</v>
      </c>
      <c r="G12" t="s">
        <v>94</v>
      </c>
      <c r="H12" t="s">
        <v>66</v>
      </c>
      <c r="I12" t="s">
        <v>73</v>
      </c>
      <c r="J12" t="s">
        <v>12</v>
      </c>
      <c r="K12" t="s">
        <v>68</v>
      </c>
      <c r="L12">
        <v>5</v>
      </c>
      <c r="M12">
        <f t="shared" si="0"/>
        <v>2.4846202778862789</v>
      </c>
      <c r="N12">
        <f t="shared" si="1"/>
        <v>7.9351641667890362</v>
      </c>
      <c r="O12">
        <f>VLOOKUP(F12,SLA_Targets!$A$2:$C$5,2,FALSE)</f>
        <v>4</v>
      </c>
      <c r="P12">
        <f>VLOOKUP(F12,SLA_Targets!$A$2:$C$5,3,FALSE)</f>
        <v>24</v>
      </c>
      <c r="Q12" t="str">
        <f t="shared" si="2"/>
        <v>Met</v>
      </c>
      <c r="R12" t="str">
        <f t="shared" si="3"/>
        <v>Met</v>
      </c>
      <c r="S12" t="s">
        <v>13</v>
      </c>
      <c r="T12" t="s">
        <v>14</v>
      </c>
      <c r="U12">
        <v>4.2</v>
      </c>
      <c r="V12" t="s">
        <v>15</v>
      </c>
      <c r="W12">
        <f t="shared" si="4"/>
        <v>1</v>
      </c>
    </row>
    <row r="13" spans="1:23">
      <c r="A13" t="s">
        <v>95</v>
      </c>
      <c r="B13">
        <v>46199.004224537035</v>
      </c>
      <c r="C13">
        <v>46199.180284328701</v>
      </c>
      <c r="E13" t="s">
        <v>64</v>
      </c>
      <c r="F13" t="s">
        <v>5</v>
      </c>
      <c r="G13" t="s">
        <v>76</v>
      </c>
      <c r="H13" t="s">
        <v>72</v>
      </c>
      <c r="I13" t="s">
        <v>73</v>
      </c>
      <c r="J13" t="s">
        <v>28</v>
      </c>
      <c r="K13" t="s">
        <v>68</v>
      </c>
      <c r="M13">
        <f t="shared" si="0"/>
        <v>4.2254349999711849</v>
      </c>
      <c r="N13" t="str">
        <f t="shared" si="1"/>
        <v/>
      </c>
      <c r="O13">
        <f>VLOOKUP(F13,SLA_Targets!$A$2:$C$5,2,FALSE)</f>
        <v>4</v>
      </c>
      <c r="P13">
        <f>VLOOKUP(F13,SLA_Targets!$A$2:$C$5,3,FALSE)</f>
        <v>24</v>
      </c>
      <c r="Q13" t="str">
        <f t="shared" si="2"/>
        <v>Breached</v>
      </c>
      <c r="R13" t="str">
        <f t="shared" si="3"/>
        <v>Pending</v>
      </c>
      <c r="S13" t="s">
        <v>29</v>
      </c>
      <c r="T13" t="s">
        <v>27</v>
      </c>
      <c r="U13">
        <v>1.8</v>
      </c>
      <c r="V13" t="s">
        <v>30</v>
      </c>
      <c r="W13">
        <f t="shared" si="4"/>
        <v>1</v>
      </c>
    </row>
    <row r="14" spans="1:23">
      <c r="A14" t="s">
        <v>96</v>
      </c>
      <c r="B14">
        <v>46119.218229166669</v>
      </c>
      <c r="C14">
        <v>46119.301877071761</v>
      </c>
      <c r="D14">
        <v>46119.643982824076</v>
      </c>
      <c r="E14" t="s">
        <v>75</v>
      </c>
      <c r="F14" t="s">
        <v>5</v>
      </c>
      <c r="G14" t="s">
        <v>94</v>
      </c>
      <c r="H14" t="s">
        <v>66</v>
      </c>
      <c r="I14" t="s">
        <v>73</v>
      </c>
      <c r="J14" t="s">
        <v>12</v>
      </c>
      <c r="K14" t="s">
        <v>68</v>
      </c>
      <c r="L14">
        <v>4</v>
      </c>
      <c r="M14">
        <f t="shared" si="0"/>
        <v>2.0075497222132981</v>
      </c>
      <c r="N14">
        <f t="shared" si="1"/>
        <v>10.218087777786423</v>
      </c>
      <c r="O14">
        <f>VLOOKUP(F14,SLA_Targets!$A$2:$C$5,2,FALSE)</f>
        <v>4</v>
      </c>
      <c r="P14">
        <f>VLOOKUP(F14,SLA_Targets!$A$2:$C$5,3,FALSE)</f>
        <v>24</v>
      </c>
      <c r="Q14" t="str">
        <f t="shared" si="2"/>
        <v>Met</v>
      </c>
      <c r="R14" t="str">
        <f t="shared" si="3"/>
        <v>Met</v>
      </c>
      <c r="S14" t="s">
        <v>13</v>
      </c>
      <c r="T14" t="s">
        <v>14</v>
      </c>
      <c r="U14">
        <v>4.2</v>
      </c>
      <c r="V14" t="s">
        <v>15</v>
      </c>
      <c r="W14">
        <f t="shared" si="4"/>
        <v>1</v>
      </c>
    </row>
    <row r="15" spans="1:23">
      <c r="A15" t="s">
        <v>97</v>
      </c>
      <c r="B15">
        <v>46165.819212962961</v>
      </c>
      <c r="C15">
        <v>46165.928845706017</v>
      </c>
      <c r="D15">
        <v>46166.29866385417</v>
      </c>
      <c r="E15" t="s">
        <v>75</v>
      </c>
      <c r="F15" t="s">
        <v>6</v>
      </c>
      <c r="G15" t="s">
        <v>98</v>
      </c>
      <c r="H15" t="s">
        <v>84</v>
      </c>
      <c r="I15" t="s">
        <v>89</v>
      </c>
      <c r="J15" t="s">
        <v>12</v>
      </c>
      <c r="K15" t="s">
        <v>68</v>
      </c>
      <c r="L15">
        <v>5</v>
      </c>
      <c r="M15">
        <f t="shared" si="0"/>
        <v>2.6311858333647251</v>
      </c>
      <c r="N15">
        <f t="shared" si="1"/>
        <v>11.506821389019024</v>
      </c>
      <c r="O15">
        <f>VLOOKUP(F15,SLA_Targets!$A$2:$C$5,2,FALSE)</f>
        <v>8</v>
      </c>
      <c r="P15">
        <f>VLOOKUP(F15,SLA_Targets!$A$2:$C$5,3,FALSE)</f>
        <v>48</v>
      </c>
      <c r="Q15" t="str">
        <f t="shared" si="2"/>
        <v>Met</v>
      </c>
      <c r="R15" t="str">
        <f t="shared" si="3"/>
        <v>Met</v>
      </c>
      <c r="S15" t="s">
        <v>13</v>
      </c>
      <c r="T15" t="s">
        <v>14</v>
      </c>
      <c r="U15">
        <v>4.2</v>
      </c>
      <c r="V15" t="s">
        <v>15</v>
      </c>
      <c r="W15">
        <f t="shared" si="4"/>
        <v>1</v>
      </c>
    </row>
    <row r="16" spans="1:23">
      <c r="A16" t="s">
        <v>99</v>
      </c>
      <c r="B16">
        <v>46157.510254629633</v>
      </c>
      <c r="C16">
        <v>46157.690273599539</v>
      </c>
      <c r="D16">
        <v>46158.270596805552</v>
      </c>
      <c r="E16" t="s">
        <v>70</v>
      </c>
      <c r="F16" t="s">
        <v>5</v>
      </c>
      <c r="G16" t="s">
        <v>79</v>
      </c>
      <c r="H16" t="s">
        <v>77</v>
      </c>
      <c r="I16" t="s">
        <v>73</v>
      </c>
      <c r="J16" t="s">
        <v>37</v>
      </c>
      <c r="K16" t="s">
        <v>68</v>
      </c>
      <c r="L16">
        <v>4</v>
      </c>
      <c r="M16">
        <f t="shared" si="0"/>
        <v>4.3204552777460776</v>
      </c>
      <c r="N16">
        <f t="shared" si="1"/>
        <v>18.248212222068105</v>
      </c>
      <c r="O16">
        <f>VLOOKUP(F16,SLA_Targets!$A$2:$C$5,2,FALSE)</f>
        <v>4</v>
      </c>
      <c r="P16">
        <f>VLOOKUP(F16,SLA_Targets!$A$2:$C$5,3,FALSE)</f>
        <v>24</v>
      </c>
      <c r="Q16" t="str">
        <f t="shared" si="2"/>
        <v>Breached</v>
      </c>
      <c r="R16" t="str">
        <f t="shared" si="3"/>
        <v>Met</v>
      </c>
      <c r="S16" t="s">
        <v>38</v>
      </c>
      <c r="T16" t="s">
        <v>14</v>
      </c>
      <c r="U16">
        <v>1.2</v>
      </c>
      <c r="V16" t="s">
        <v>39</v>
      </c>
      <c r="W16">
        <f t="shared" si="4"/>
        <v>1</v>
      </c>
    </row>
    <row r="17" spans="1:23">
      <c r="A17" t="s">
        <v>100</v>
      </c>
      <c r="B17">
        <v>46195.990486111114</v>
      </c>
      <c r="C17">
        <v>46196.255085439814</v>
      </c>
      <c r="D17">
        <v>46197.355265752318</v>
      </c>
      <c r="E17" t="s">
        <v>75</v>
      </c>
      <c r="F17" t="s">
        <v>5</v>
      </c>
      <c r="G17" t="s">
        <v>79</v>
      </c>
      <c r="H17" t="s">
        <v>66</v>
      </c>
      <c r="I17" t="s">
        <v>73</v>
      </c>
      <c r="J17" t="s">
        <v>37</v>
      </c>
      <c r="K17" t="s">
        <v>68</v>
      </c>
      <c r="L17">
        <v>4</v>
      </c>
      <c r="M17">
        <f t="shared" si="0"/>
        <v>6.350383888813667</v>
      </c>
      <c r="N17">
        <f t="shared" si="1"/>
        <v>32.754711388901342</v>
      </c>
      <c r="O17">
        <f>VLOOKUP(F17,SLA_Targets!$A$2:$C$5,2,FALSE)</f>
        <v>4</v>
      </c>
      <c r="P17">
        <f>VLOOKUP(F17,SLA_Targets!$A$2:$C$5,3,FALSE)</f>
        <v>24</v>
      </c>
      <c r="Q17" t="str">
        <f t="shared" si="2"/>
        <v>Breached</v>
      </c>
      <c r="R17" t="str">
        <f t="shared" si="3"/>
        <v>Breached</v>
      </c>
      <c r="S17" t="s">
        <v>38</v>
      </c>
      <c r="T17" t="s">
        <v>14</v>
      </c>
      <c r="U17">
        <v>1.2</v>
      </c>
      <c r="V17" t="s">
        <v>39</v>
      </c>
      <c r="W17">
        <f t="shared" si="4"/>
        <v>1</v>
      </c>
    </row>
    <row r="18" spans="1:23">
      <c r="A18" t="s">
        <v>101</v>
      </c>
      <c r="B18">
        <v>46138.65116898148</v>
      </c>
      <c r="C18">
        <v>46138.800809108798</v>
      </c>
      <c r="D18">
        <v>46139.452370891202</v>
      </c>
      <c r="E18" t="s">
        <v>75</v>
      </c>
      <c r="F18" t="s">
        <v>5</v>
      </c>
      <c r="G18" t="s">
        <v>79</v>
      </c>
      <c r="H18" t="s">
        <v>88</v>
      </c>
      <c r="I18" t="s">
        <v>73</v>
      </c>
      <c r="J18" t="s">
        <v>12</v>
      </c>
      <c r="K18" t="s">
        <v>68</v>
      </c>
      <c r="L18">
        <v>4</v>
      </c>
      <c r="M18">
        <f t="shared" si="0"/>
        <v>3.5913630556315184</v>
      </c>
      <c r="N18">
        <f t="shared" si="1"/>
        <v>19.228845833335072</v>
      </c>
      <c r="O18">
        <f>VLOOKUP(F18,SLA_Targets!$A$2:$C$5,2,FALSE)</f>
        <v>4</v>
      </c>
      <c r="P18">
        <f>VLOOKUP(F18,SLA_Targets!$A$2:$C$5,3,FALSE)</f>
        <v>24</v>
      </c>
      <c r="Q18" t="str">
        <f t="shared" si="2"/>
        <v>Met</v>
      </c>
      <c r="R18" t="str">
        <f t="shared" si="3"/>
        <v>Met</v>
      </c>
      <c r="S18" t="s">
        <v>13</v>
      </c>
      <c r="T18" t="s">
        <v>14</v>
      </c>
      <c r="U18">
        <v>4.2</v>
      </c>
      <c r="V18" t="s">
        <v>15</v>
      </c>
      <c r="W18">
        <f t="shared" si="4"/>
        <v>1</v>
      </c>
    </row>
    <row r="19" spans="1:23">
      <c r="A19" t="s">
        <v>102</v>
      </c>
      <c r="B19">
        <v>46137.050995370373</v>
      </c>
      <c r="C19">
        <v>46137.112885787035</v>
      </c>
      <c r="D19">
        <v>46137.380888807871</v>
      </c>
      <c r="E19" t="s">
        <v>75</v>
      </c>
      <c r="F19" t="s">
        <v>4</v>
      </c>
      <c r="G19" t="s">
        <v>94</v>
      </c>
      <c r="H19" t="s">
        <v>88</v>
      </c>
      <c r="I19" t="s">
        <v>89</v>
      </c>
      <c r="J19" t="s">
        <v>37</v>
      </c>
      <c r="K19" t="s">
        <v>68</v>
      </c>
      <c r="L19">
        <v>4</v>
      </c>
      <c r="M19">
        <f t="shared" si="0"/>
        <v>1.4853699998930097</v>
      </c>
      <c r="N19">
        <f t="shared" si="1"/>
        <v>7.9174424999509938</v>
      </c>
      <c r="O19">
        <f>VLOOKUP(F19,SLA_Targets!$A$2:$C$5,2,FALSE)</f>
        <v>1</v>
      </c>
      <c r="P19">
        <f>VLOOKUP(F19,SLA_Targets!$A$2:$C$5,3,FALSE)</f>
        <v>8</v>
      </c>
      <c r="Q19" t="str">
        <f t="shared" si="2"/>
        <v>Breached</v>
      </c>
      <c r="R19" t="str">
        <f t="shared" si="3"/>
        <v>Met</v>
      </c>
      <c r="S19" t="s">
        <v>38</v>
      </c>
      <c r="T19" t="s">
        <v>14</v>
      </c>
      <c r="U19">
        <v>1.2</v>
      </c>
      <c r="V19" t="s">
        <v>39</v>
      </c>
      <c r="W19">
        <f t="shared" si="4"/>
        <v>1</v>
      </c>
    </row>
    <row r="20" spans="1:23">
      <c r="A20" t="s">
        <v>103</v>
      </c>
      <c r="B20">
        <v>46180.082673611112</v>
      </c>
      <c r="C20">
        <v>46180.12110704861</v>
      </c>
      <c r="D20">
        <v>46180.475216261577</v>
      </c>
      <c r="E20" t="s">
        <v>75</v>
      </c>
      <c r="F20" t="s">
        <v>4</v>
      </c>
      <c r="G20" t="s">
        <v>76</v>
      </c>
      <c r="H20" t="s">
        <v>88</v>
      </c>
      <c r="I20" t="s">
        <v>73</v>
      </c>
      <c r="J20" t="s">
        <v>28</v>
      </c>
      <c r="K20" t="s">
        <v>68</v>
      </c>
      <c r="L20">
        <v>4</v>
      </c>
      <c r="M20">
        <f t="shared" si="0"/>
        <v>0.92240249994210899</v>
      </c>
      <c r="N20">
        <f t="shared" si="1"/>
        <v>9.4210236111539416</v>
      </c>
      <c r="O20">
        <f>VLOOKUP(F20,SLA_Targets!$A$2:$C$5,2,FALSE)</f>
        <v>1</v>
      </c>
      <c r="P20">
        <f>VLOOKUP(F20,SLA_Targets!$A$2:$C$5,3,FALSE)</f>
        <v>8</v>
      </c>
      <c r="Q20" t="str">
        <f t="shared" si="2"/>
        <v>Met</v>
      </c>
      <c r="R20" t="str">
        <f t="shared" si="3"/>
        <v>Breached</v>
      </c>
      <c r="S20" t="s">
        <v>29</v>
      </c>
      <c r="T20" t="s">
        <v>27</v>
      </c>
      <c r="U20">
        <v>1.8</v>
      </c>
      <c r="V20" t="s">
        <v>30</v>
      </c>
      <c r="W20">
        <f t="shared" si="4"/>
        <v>1</v>
      </c>
    </row>
    <row r="21" spans="1:23">
      <c r="A21" t="s">
        <v>104</v>
      </c>
      <c r="B21">
        <v>46199.074456018519</v>
      </c>
      <c r="C21">
        <v>46199.08438039352</v>
      </c>
      <c r="D21">
        <v>46199.143582430559</v>
      </c>
      <c r="E21" t="s">
        <v>75</v>
      </c>
      <c r="F21" t="s">
        <v>3</v>
      </c>
      <c r="G21" t="s">
        <v>105</v>
      </c>
      <c r="H21" t="s">
        <v>106</v>
      </c>
      <c r="I21" t="s">
        <v>89</v>
      </c>
      <c r="J21" t="s">
        <v>31</v>
      </c>
      <c r="K21" t="s">
        <v>68</v>
      </c>
      <c r="L21">
        <v>5</v>
      </c>
      <c r="M21">
        <f t="shared" si="0"/>
        <v>0.23818500002380461</v>
      </c>
      <c r="N21">
        <f t="shared" si="1"/>
        <v>1.6590338889509439</v>
      </c>
      <c r="O21">
        <f>VLOOKUP(F21,SLA_Targets!$A$2:$C$5,2,FALSE)</f>
        <v>0.5</v>
      </c>
      <c r="P21">
        <f>VLOOKUP(F21,SLA_Targets!$A$2:$C$5,3,FALSE)</f>
        <v>4</v>
      </c>
      <c r="Q21" t="str">
        <f t="shared" si="2"/>
        <v>Met</v>
      </c>
      <c r="R21" t="str">
        <f t="shared" si="3"/>
        <v>Met</v>
      </c>
      <c r="S21" t="s">
        <v>32</v>
      </c>
      <c r="T21" t="s">
        <v>33</v>
      </c>
      <c r="U21">
        <v>7.1</v>
      </c>
      <c r="V21" t="s">
        <v>18</v>
      </c>
      <c r="W21">
        <f t="shared" si="4"/>
        <v>1</v>
      </c>
    </row>
    <row r="22" spans="1:23">
      <c r="A22" t="s">
        <v>107</v>
      </c>
      <c r="B22">
        <v>46198.259513888886</v>
      </c>
      <c r="C22">
        <v>46198.387102789355</v>
      </c>
      <c r="D22">
        <v>46199.021861701389</v>
      </c>
      <c r="E22" t="s">
        <v>70</v>
      </c>
      <c r="F22" t="s">
        <v>5</v>
      </c>
      <c r="G22" t="s">
        <v>94</v>
      </c>
      <c r="H22" t="s">
        <v>66</v>
      </c>
      <c r="I22" t="s">
        <v>92</v>
      </c>
      <c r="J22" t="s">
        <v>12</v>
      </c>
      <c r="K22" t="s">
        <v>68</v>
      </c>
      <c r="L22">
        <v>5</v>
      </c>
      <c r="M22">
        <f t="shared" si="0"/>
        <v>3.0621336112380959</v>
      </c>
      <c r="N22">
        <f t="shared" si="1"/>
        <v>18.296347500057891</v>
      </c>
      <c r="O22">
        <f>VLOOKUP(F22,SLA_Targets!$A$2:$C$5,2,FALSE)</f>
        <v>4</v>
      </c>
      <c r="P22">
        <f>VLOOKUP(F22,SLA_Targets!$A$2:$C$5,3,FALSE)</f>
        <v>24</v>
      </c>
      <c r="Q22" t="str">
        <f t="shared" si="2"/>
        <v>Met</v>
      </c>
      <c r="R22" t="str">
        <f t="shared" si="3"/>
        <v>Met</v>
      </c>
      <c r="S22" t="s">
        <v>13</v>
      </c>
      <c r="T22" t="s">
        <v>14</v>
      </c>
      <c r="U22">
        <v>4.2</v>
      </c>
      <c r="V22" t="s">
        <v>15</v>
      </c>
      <c r="W22">
        <f t="shared" si="4"/>
        <v>1</v>
      </c>
    </row>
    <row r="23" spans="1:23">
      <c r="A23" t="s">
        <v>108</v>
      </c>
      <c r="B23">
        <v>46142.964421296296</v>
      </c>
      <c r="C23">
        <v>46143.098010266207</v>
      </c>
      <c r="D23">
        <v>46144.359461689812</v>
      </c>
      <c r="E23" t="s">
        <v>75</v>
      </c>
      <c r="F23" t="s">
        <v>6</v>
      </c>
      <c r="G23" t="s">
        <v>98</v>
      </c>
      <c r="H23" t="s">
        <v>109</v>
      </c>
      <c r="I23" t="s">
        <v>73</v>
      </c>
      <c r="J23" t="s">
        <v>12</v>
      </c>
      <c r="K23" t="s">
        <v>68</v>
      </c>
      <c r="L23">
        <v>4</v>
      </c>
      <c r="M23">
        <f t="shared" si="0"/>
        <v>3.2061352778691798</v>
      </c>
      <c r="N23">
        <f t="shared" si="1"/>
        <v>33.480969444382936</v>
      </c>
      <c r="O23">
        <f>VLOOKUP(F23,SLA_Targets!$A$2:$C$5,2,FALSE)</f>
        <v>8</v>
      </c>
      <c r="P23">
        <f>VLOOKUP(F23,SLA_Targets!$A$2:$C$5,3,FALSE)</f>
        <v>48</v>
      </c>
      <c r="Q23" t="str">
        <f t="shared" si="2"/>
        <v>Met</v>
      </c>
      <c r="R23" t="str">
        <f t="shared" si="3"/>
        <v>Met</v>
      </c>
      <c r="S23" t="s">
        <v>13</v>
      </c>
      <c r="T23" t="s">
        <v>14</v>
      </c>
      <c r="U23">
        <v>4.2</v>
      </c>
      <c r="V23" t="s">
        <v>15</v>
      </c>
      <c r="W23">
        <f t="shared" si="4"/>
        <v>1</v>
      </c>
    </row>
    <row r="24" spans="1:23">
      <c r="A24" t="s">
        <v>110</v>
      </c>
      <c r="B24">
        <v>46145.484791666669</v>
      </c>
      <c r="C24">
        <v>46145.496954224538</v>
      </c>
      <c r="D24">
        <v>46145.605106064817</v>
      </c>
      <c r="E24" t="s">
        <v>75</v>
      </c>
      <c r="F24" t="s">
        <v>3</v>
      </c>
      <c r="G24" t="s">
        <v>83</v>
      </c>
      <c r="H24" t="s">
        <v>84</v>
      </c>
      <c r="I24" t="s">
        <v>92</v>
      </c>
      <c r="J24" t="s">
        <v>34</v>
      </c>
      <c r="K24" t="s">
        <v>68</v>
      </c>
      <c r="L24">
        <v>4</v>
      </c>
      <c r="M24">
        <f t="shared" si="0"/>
        <v>0.29190138884587213</v>
      </c>
      <c r="N24">
        <f t="shared" si="1"/>
        <v>2.8875455555389635</v>
      </c>
      <c r="O24">
        <f>VLOOKUP(F24,SLA_Targets!$A$2:$C$5,2,FALSE)</f>
        <v>0.5</v>
      </c>
      <c r="P24">
        <f>VLOOKUP(F24,SLA_Targets!$A$2:$C$5,3,FALSE)</f>
        <v>4</v>
      </c>
      <c r="Q24" t="str">
        <f t="shared" si="2"/>
        <v>Met</v>
      </c>
      <c r="R24" t="str">
        <f t="shared" si="3"/>
        <v>Met</v>
      </c>
      <c r="S24" t="s">
        <v>35</v>
      </c>
      <c r="T24" t="s">
        <v>33</v>
      </c>
      <c r="U24">
        <v>3</v>
      </c>
      <c r="V24" t="s">
        <v>36</v>
      </c>
      <c r="W24">
        <f t="shared" si="4"/>
        <v>1</v>
      </c>
    </row>
    <row r="25" spans="1:23">
      <c r="A25" t="s">
        <v>111</v>
      </c>
      <c r="B25">
        <v>46138.064432870371</v>
      </c>
      <c r="C25">
        <v>46138.090056574074</v>
      </c>
      <c r="D25">
        <v>46138.216426921295</v>
      </c>
      <c r="E25" t="s">
        <v>75</v>
      </c>
      <c r="F25" t="s">
        <v>4</v>
      </c>
      <c r="G25" t="s">
        <v>65</v>
      </c>
      <c r="H25" t="s">
        <v>66</v>
      </c>
      <c r="I25" t="s">
        <v>73</v>
      </c>
      <c r="J25" t="s">
        <v>42</v>
      </c>
      <c r="K25" t="s">
        <v>68</v>
      </c>
      <c r="L25">
        <v>5</v>
      </c>
      <c r="M25">
        <f t="shared" si="0"/>
        <v>0.61496888886904344</v>
      </c>
      <c r="N25">
        <f t="shared" si="1"/>
        <v>3.6478572221822105</v>
      </c>
      <c r="O25">
        <f>VLOOKUP(F25,SLA_Targets!$A$2:$C$5,2,FALSE)</f>
        <v>1</v>
      </c>
      <c r="P25">
        <f>VLOOKUP(F25,SLA_Targets!$A$2:$C$5,3,FALSE)</f>
        <v>8</v>
      </c>
      <c r="Q25" t="str">
        <f t="shared" si="2"/>
        <v>Met</v>
      </c>
      <c r="R25" t="str">
        <f t="shared" si="3"/>
        <v>Met</v>
      </c>
      <c r="S25" t="s">
        <v>43</v>
      </c>
      <c r="T25" t="s">
        <v>21</v>
      </c>
      <c r="U25">
        <v>2.7</v>
      </c>
      <c r="V25" t="s">
        <v>36</v>
      </c>
      <c r="W25">
        <f t="shared" si="4"/>
        <v>1</v>
      </c>
    </row>
    <row r="26" spans="1:23">
      <c r="A26" t="s">
        <v>112</v>
      </c>
      <c r="B26">
        <v>46131.959155092591</v>
      </c>
      <c r="C26">
        <v>46132.108566030096</v>
      </c>
      <c r="D26">
        <v>46133.044976562502</v>
      </c>
      <c r="E26" t="s">
        <v>75</v>
      </c>
      <c r="F26" t="s">
        <v>6</v>
      </c>
      <c r="G26" t="s">
        <v>94</v>
      </c>
      <c r="H26" t="s">
        <v>84</v>
      </c>
      <c r="I26" t="s">
        <v>89</v>
      </c>
      <c r="J26" t="s">
        <v>37</v>
      </c>
      <c r="K26" t="s">
        <v>68</v>
      </c>
      <c r="L26">
        <v>4</v>
      </c>
      <c r="M26">
        <f t="shared" si="0"/>
        <v>3.5858625001274049</v>
      </c>
      <c r="N26">
        <f t="shared" si="1"/>
        <v>26.059715277864598</v>
      </c>
      <c r="O26">
        <f>VLOOKUP(F26,SLA_Targets!$A$2:$C$5,2,FALSE)</f>
        <v>8</v>
      </c>
      <c r="P26">
        <f>VLOOKUP(F26,SLA_Targets!$A$2:$C$5,3,FALSE)</f>
        <v>48</v>
      </c>
      <c r="Q26" t="str">
        <f t="shared" si="2"/>
        <v>Met</v>
      </c>
      <c r="R26" t="str">
        <f t="shared" si="3"/>
        <v>Met</v>
      </c>
      <c r="S26" t="s">
        <v>38</v>
      </c>
      <c r="T26" t="s">
        <v>14</v>
      </c>
      <c r="U26">
        <v>1.2</v>
      </c>
      <c r="V26" t="s">
        <v>39</v>
      </c>
      <c r="W26">
        <f t="shared" si="4"/>
        <v>1</v>
      </c>
    </row>
    <row r="27" spans="1:23">
      <c r="A27" t="s">
        <v>113</v>
      </c>
      <c r="B27">
        <v>46162.963402777779</v>
      </c>
      <c r="C27">
        <v>46163.243789085645</v>
      </c>
      <c r="D27">
        <v>46163.626962118055</v>
      </c>
      <c r="E27" t="s">
        <v>75</v>
      </c>
      <c r="F27" t="s">
        <v>6</v>
      </c>
      <c r="G27" t="s">
        <v>71</v>
      </c>
      <c r="H27" t="s">
        <v>84</v>
      </c>
      <c r="I27" t="s">
        <v>73</v>
      </c>
      <c r="J27" t="s">
        <v>40</v>
      </c>
      <c r="K27" t="s">
        <v>68</v>
      </c>
      <c r="L27">
        <v>5</v>
      </c>
      <c r="M27">
        <f t="shared" si="0"/>
        <v>6.7292713887873106</v>
      </c>
      <c r="N27">
        <f t="shared" si="1"/>
        <v>15.925424166605808</v>
      </c>
      <c r="O27">
        <f>VLOOKUP(F27,SLA_Targets!$A$2:$C$5,2,FALSE)</f>
        <v>8</v>
      </c>
      <c r="P27">
        <f>VLOOKUP(F27,SLA_Targets!$A$2:$C$5,3,FALSE)</f>
        <v>48</v>
      </c>
      <c r="Q27" t="str">
        <f t="shared" si="2"/>
        <v>Met</v>
      </c>
      <c r="R27" t="str">
        <f t="shared" si="3"/>
        <v>Met</v>
      </c>
      <c r="S27" t="s">
        <v>41</v>
      </c>
      <c r="T27" t="s">
        <v>27</v>
      </c>
      <c r="U27">
        <v>4.8</v>
      </c>
      <c r="V27" t="s">
        <v>39</v>
      </c>
      <c r="W27">
        <f t="shared" si="4"/>
        <v>1</v>
      </c>
    </row>
    <row r="28" spans="1:23">
      <c r="A28" t="s">
        <v>114</v>
      </c>
      <c r="B28">
        <v>46132.666921296295</v>
      </c>
      <c r="C28">
        <v>46132.67604416667</v>
      </c>
      <c r="D28">
        <v>46132.782175405089</v>
      </c>
      <c r="E28" t="s">
        <v>75</v>
      </c>
      <c r="F28" t="s">
        <v>3</v>
      </c>
      <c r="G28" t="s">
        <v>65</v>
      </c>
      <c r="H28" t="s">
        <v>80</v>
      </c>
      <c r="I28" t="s">
        <v>73</v>
      </c>
      <c r="J28" t="s">
        <v>23</v>
      </c>
      <c r="K28" t="s">
        <v>85</v>
      </c>
      <c r="L28">
        <v>4</v>
      </c>
      <c r="M28">
        <f t="shared" si="0"/>
        <v>0.21894888899987563</v>
      </c>
      <c r="N28">
        <f t="shared" si="1"/>
        <v>2.7660986110568047</v>
      </c>
      <c r="O28">
        <f>VLOOKUP(F28,SLA_Targets!$A$2:$C$5,2,FALSE)</f>
        <v>0.5</v>
      </c>
      <c r="P28">
        <f>VLOOKUP(F28,SLA_Targets!$A$2:$C$5,3,FALSE)</f>
        <v>4</v>
      </c>
      <c r="Q28" t="str">
        <f t="shared" si="2"/>
        <v>Met</v>
      </c>
      <c r="R28" t="str">
        <f t="shared" si="3"/>
        <v>Met</v>
      </c>
      <c r="S28" t="s">
        <v>24</v>
      </c>
      <c r="T28" t="s">
        <v>21</v>
      </c>
      <c r="U28">
        <v>3.4</v>
      </c>
      <c r="V28" t="s">
        <v>22</v>
      </c>
      <c r="W28">
        <f t="shared" si="4"/>
        <v>1</v>
      </c>
    </row>
    <row r="29" spans="1:23">
      <c r="A29" t="s">
        <v>115</v>
      </c>
      <c r="B29">
        <v>46123.681932870371</v>
      </c>
      <c r="C29">
        <v>46123.701016145831</v>
      </c>
      <c r="D29">
        <v>46123.963623194446</v>
      </c>
      <c r="E29" t="s">
        <v>70</v>
      </c>
      <c r="F29" t="s">
        <v>4</v>
      </c>
      <c r="G29" t="s">
        <v>105</v>
      </c>
      <c r="H29" t="s">
        <v>77</v>
      </c>
      <c r="I29" t="s">
        <v>89</v>
      </c>
      <c r="J29" t="s">
        <v>44</v>
      </c>
      <c r="K29" t="s">
        <v>68</v>
      </c>
      <c r="L29">
        <v>3</v>
      </c>
      <c r="M29">
        <f t="shared" si="0"/>
        <v>0.4579986110329628</v>
      </c>
      <c r="N29">
        <f t="shared" si="1"/>
        <v>6.7605677777901292</v>
      </c>
      <c r="O29">
        <f>VLOOKUP(F29,SLA_Targets!$A$2:$C$5,2,FALSE)</f>
        <v>1</v>
      </c>
      <c r="P29">
        <f>VLOOKUP(F29,SLA_Targets!$A$2:$C$5,3,FALSE)</f>
        <v>8</v>
      </c>
      <c r="Q29" t="str">
        <f t="shared" si="2"/>
        <v>Met</v>
      </c>
      <c r="R29" t="str">
        <f t="shared" si="3"/>
        <v>Met</v>
      </c>
      <c r="S29" t="s">
        <v>45</v>
      </c>
      <c r="T29" t="s">
        <v>33</v>
      </c>
      <c r="U29">
        <v>5.0999999999999996</v>
      </c>
      <c r="V29" t="s">
        <v>30</v>
      </c>
      <c r="W29">
        <f t="shared" si="4"/>
        <v>1</v>
      </c>
    </row>
    <row r="30" spans="1:23">
      <c r="A30" t="s">
        <v>116</v>
      </c>
      <c r="B30">
        <v>46192.46261574074</v>
      </c>
      <c r="C30">
        <v>46192.495226342595</v>
      </c>
      <c r="D30">
        <v>46192.599073657409</v>
      </c>
      <c r="E30" t="s">
        <v>75</v>
      </c>
      <c r="F30" t="s">
        <v>4</v>
      </c>
      <c r="G30" t="s">
        <v>105</v>
      </c>
      <c r="H30" t="s">
        <v>77</v>
      </c>
      <c r="I30" t="s">
        <v>67</v>
      </c>
      <c r="J30" t="s">
        <v>44</v>
      </c>
      <c r="K30" t="s">
        <v>68</v>
      </c>
      <c r="L30">
        <v>5</v>
      </c>
      <c r="M30">
        <f t="shared" si="0"/>
        <v>0.78265444451244548</v>
      </c>
      <c r="N30">
        <f t="shared" si="1"/>
        <v>3.2749900000635535</v>
      </c>
      <c r="O30">
        <f>VLOOKUP(F30,SLA_Targets!$A$2:$C$5,2,FALSE)</f>
        <v>1</v>
      </c>
      <c r="P30">
        <f>VLOOKUP(F30,SLA_Targets!$A$2:$C$5,3,FALSE)</f>
        <v>8</v>
      </c>
      <c r="Q30" t="str">
        <f t="shared" si="2"/>
        <v>Met</v>
      </c>
      <c r="R30" t="str">
        <f t="shared" si="3"/>
        <v>Met</v>
      </c>
      <c r="S30" t="s">
        <v>45</v>
      </c>
      <c r="T30" t="s">
        <v>33</v>
      </c>
      <c r="U30">
        <v>5.0999999999999996</v>
      </c>
      <c r="V30" t="s">
        <v>30</v>
      </c>
      <c r="W30">
        <f t="shared" si="4"/>
        <v>1</v>
      </c>
    </row>
    <row r="31" spans="1:23">
      <c r="A31" t="s">
        <v>117</v>
      </c>
      <c r="B31">
        <v>46141.074780092589</v>
      </c>
      <c r="C31">
        <v>46141.112891435187</v>
      </c>
      <c r="D31">
        <v>46141.286309432871</v>
      </c>
      <c r="E31" t="s">
        <v>75</v>
      </c>
      <c r="F31" t="s">
        <v>4</v>
      </c>
      <c r="G31" t="s">
        <v>79</v>
      </c>
      <c r="H31" t="s">
        <v>80</v>
      </c>
      <c r="I31" t="s">
        <v>73</v>
      </c>
      <c r="J31" t="s">
        <v>37</v>
      </c>
      <c r="K31" t="s">
        <v>68</v>
      </c>
      <c r="L31">
        <v>5</v>
      </c>
      <c r="M31">
        <f t="shared" si="0"/>
        <v>0.91467222233768553</v>
      </c>
      <c r="N31">
        <f t="shared" si="1"/>
        <v>5.0767041667713784</v>
      </c>
      <c r="O31">
        <f>VLOOKUP(F31,SLA_Targets!$A$2:$C$5,2,FALSE)</f>
        <v>1</v>
      </c>
      <c r="P31">
        <f>VLOOKUP(F31,SLA_Targets!$A$2:$C$5,3,FALSE)</f>
        <v>8</v>
      </c>
      <c r="Q31" t="str">
        <f t="shared" si="2"/>
        <v>Met</v>
      </c>
      <c r="R31" t="str">
        <f t="shared" si="3"/>
        <v>Met</v>
      </c>
      <c r="S31" t="s">
        <v>38</v>
      </c>
      <c r="T31" t="s">
        <v>14</v>
      </c>
      <c r="U31">
        <v>1.2</v>
      </c>
      <c r="V31" t="s">
        <v>39</v>
      </c>
      <c r="W31">
        <f t="shared" si="4"/>
        <v>1</v>
      </c>
    </row>
    <row r="32" spans="1:23">
      <c r="A32" t="s">
        <v>118</v>
      </c>
      <c r="B32">
        <v>46194.19903935185</v>
      </c>
      <c r="C32">
        <v>46194.599111388889</v>
      </c>
      <c r="D32">
        <v>46194.725638043979</v>
      </c>
      <c r="E32" t="s">
        <v>75</v>
      </c>
      <c r="F32" t="s">
        <v>6</v>
      </c>
      <c r="G32" t="s">
        <v>94</v>
      </c>
      <c r="H32" t="s">
        <v>109</v>
      </c>
      <c r="I32" t="s">
        <v>73</v>
      </c>
      <c r="J32" t="s">
        <v>37</v>
      </c>
      <c r="K32" t="s">
        <v>68</v>
      </c>
      <c r="L32">
        <v>4</v>
      </c>
      <c r="M32">
        <f t="shared" si="0"/>
        <v>9.6017288889270276</v>
      </c>
      <c r="N32">
        <f t="shared" si="1"/>
        <v>12.63836861110758</v>
      </c>
      <c r="O32">
        <f>VLOOKUP(F32,SLA_Targets!$A$2:$C$5,2,FALSE)</f>
        <v>8</v>
      </c>
      <c r="P32">
        <f>VLOOKUP(F32,SLA_Targets!$A$2:$C$5,3,FALSE)</f>
        <v>48</v>
      </c>
      <c r="Q32" t="str">
        <f t="shared" si="2"/>
        <v>Breached</v>
      </c>
      <c r="R32" t="str">
        <f t="shared" si="3"/>
        <v>Met</v>
      </c>
      <c r="S32" t="s">
        <v>38</v>
      </c>
      <c r="T32" t="s">
        <v>14</v>
      </c>
      <c r="U32">
        <v>1.2</v>
      </c>
      <c r="V32" t="s">
        <v>39</v>
      </c>
      <c r="W32">
        <f t="shared" si="4"/>
        <v>1</v>
      </c>
    </row>
    <row r="33" spans="1:23">
      <c r="A33" t="s">
        <v>119</v>
      </c>
      <c r="B33">
        <v>46160.735706018517</v>
      </c>
      <c r="C33">
        <v>46161.080555023145</v>
      </c>
      <c r="D33">
        <v>46163.003138842592</v>
      </c>
      <c r="E33" t="s">
        <v>75</v>
      </c>
      <c r="F33" t="s">
        <v>5</v>
      </c>
      <c r="G33" t="s">
        <v>79</v>
      </c>
      <c r="H33" t="s">
        <v>72</v>
      </c>
      <c r="I33" t="s">
        <v>89</v>
      </c>
      <c r="J33" t="s">
        <v>12</v>
      </c>
      <c r="K33" t="s">
        <v>68</v>
      </c>
      <c r="L33">
        <v>2</v>
      </c>
      <c r="M33">
        <f t="shared" si="0"/>
        <v>8.276376111083664</v>
      </c>
      <c r="N33">
        <f t="shared" si="1"/>
        <v>54.418387777812313</v>
      </c>
      <c r="O33">
        <f>VLOOKUP(F33,SLA_Targets!$A$2:$C$5,2,FALSE)</f>
        <v>4</v>
      </c>
      <c r="P33">
        <f>VLOOKUP(F33,SLA_Targets!$A$2:$C$5,3,FALSE)</f>
        <v>24</v>
      </c>
      <c r="Q33" t="str">
        <f t="shared" si="2"/>
        <v>Breached</v>
      </c>
      <c r="R33" t="str">
        <f t="shared" si="3"/>
        <v>Breached</v>
      </c>
      <c r="S33" t="s">
        <v>13</v>
      </c>
      <c r="T33" t="s">
        <v>14</v>
      </c>
      <c r="U33">
        <v>4.2</v>
      </c>
      <c r="V33" t="s">
        <v>15</v>
      </c>
      <c r="W33">
        <f t="shared" si="4"/>
        <v>1</v>
      </c>
    </row>
    <row r="34" spans="1:23">
      <c r="A34" t="s">
        <v>120</v>
      </c>
      <c r="B34">
        <v>46197.496249999997</v>
      </c>
      <c r="C34">
        <v>46197.501604513891</v>
      </c>
      <c r="D34">
        <v>46197.600208888885</v>
      </c>
      <c r="E34" t="s">
        <v>70</v>
      </c>
      <c r="F34" t="s">
        <v>3</v>
      </c>
      <c r="G34" t="s">
        <v>71</v>
      </c>
      <c r="H34" t="s">
        <v>106</v>
      </c>
      <c r="I34" t="s">
        <v>73</v>
      </c>
      <c r="J34" t="s">
        <v>28</v>
      </c>
      <c r="K34" t="s">
        <v>85</v>
      </c>
      <c r="L34">
        <v>4</v>
      </c>
      <c r="M34">
        <f t="shared" si="0"/>
        <v>0.12850833346601576</v>
      </c>
      <c r="N34">
        <f t="shared" si="1"/>
        <v>2.4950133333331905</v>
      </c>
      <c r="O34">
        <f>VLOOKUP(F34,SLA_Targets!$A$2:$C$5,2,FALSE)</f>
        <v>0.5</v>
      </c>
      <c r="P34">
        <f>VLOOKUP(F34,SLA_Targets!$A$2:$C$5,3,FALSE)</f>
        <v>4</v>
      </c>
      <c r="Q34" t="str">
        <f t="shared" si="2"/>
        <v>Met</v>
      </c>
      <c r="R34" t="str">
        <f t="shared" si="3"/>
        <v>Met</v>
      </c>
      <c r="S34" t="s">
        <v>29</v>
      </c>
      <c r="T34" t="s">
        <v>27</v>
      </c>
      <c r="U34">
        <v>1.8</v>
      </c>
      <c r="V34" t="s">
        <v>30</v>
      </c>
      <c r="W34">
        <f t="shared" si="4"/>
        <v>1</v>
      </c>
    </row>
    <row r="35" spans="1:23">
      <c r="A35" t="s">
        <v>121</v>
      </c>
      <c r="B35">
        <v>46119.995509259257</v>
      </c>
      <c r="C35">
        <v>46120.110898784726</v>
      </c>
      <c r="D35">
        <v>46120.610441354169</v>
      </c>
      <c r="E35" t="s">
        <v>75</v>
      </c>
      <c r="F35" t="s">
        <v>5</v>
      </c>
      <c r="G35" t="s">
        <v>105</v>
      </c>
      <c r="H35" t="s">
        <v>66</v>
      </c>
      <c r="I35" t="s">
        <v>67</v>
      </c>
      <c r="J35" t="s">
        <v>31</v>
      </c>
      <c r="K35" t="s">
        <v>68</v>
      </c>
      <c r="L35">
        <v>4</v>
      </c>
      <c r="M35">
        <f t="shared" si="0"/>
        <v>2.7693486112402752</v>
      </c>
      <c r="N35">
        <f t="shared" si="1"/>
        <v>14.758370277879294</v>
      </c>
      <c r="O35">
        <f>VLOOKUP(F35,SLA_Targets!$A$2:$C$5,2,FALSE)</f>
        <v>4</v>
      </c>
      <c r="P35">
        <f>VLOOKUP(F35,SLA_Targets!$A$2:$C$5,3,FALSE)</f>
        <v>24</v>
      </c>
      <c r="Q35" t="str">
        <f t="shared" si="2"/>
        <v>Met</v>
      </c>
      <c r="R35" t="str">
        <f t="shared" si="3"/>
        <v>Met</v>
      </c>
      <c r="S35" t="s">
        <v>32</v>
      </c>
      <c r="T35" t="s">
        <v>33</v>
      </c>
      <c r="U35">
        <v>7.1</v>
      </c>
      <c r="V35" t="s">
        <v>18</v>
      </c>
      <c r="W35">
        <f t="shared" si="4"/>
        <v>1</v>
      </c>
    </row>
    <row r="36" spans="1:23">
      <c r="A36" t="s">
        <v>122</v>
      </c>
      <c r="B36">
        <v>46149.149502314816</v>
      </c>
      <c r="C36">
        <v>46149.16123445602</v>
      </c>
      <c r="D36">
        <v>46149.454461793983</v>
      </c>
      <c r="E36" t="s">
        <v>75</v>
      </c>
      <c r="F36" t="s">
        <v>4</v>
      </c>
      <c r="G36" t="s">
        <v>65</v>
      </c>
      <c r="H36" t="s">
        <v>80</v>
      </c>
      <c r="I36" t="s">
        <v>92</v>
      </c>
      <c r="J36" t="s">
        <v>42</v>
      </c>
      <c r="K36" t="s">
        <v>68</v>
      </c>
      <c r="L36">
        <v>4</v>
      </c>
      <c r="M36">
        <f t="shared" si="0"/>
        <v>0.28157138888491318</v>
      </c>
      <c r="N36">
        <f t="shared" si="1"/>
        <v>7.3190274999942631</v>
      </c>
      <c r="O36">
        <f>VLOOKUP(F36,SLA_Targets!$A$2:$C$5,2,FALSE)</f>
        <v>1</v>
      </c>
      <c r="P36">
        <f>VLOOKUP(F36,SLA_Targets!$A$2:$C$5,3,FALSE)</f>
        <v>8</v>
      </c>
      <c r="Q36" t="str">
        <f t="shared" si="2"/>
        <v>Met</v>
      </c>
      <c r="R36" t="str">
        <f t="shared" si="3"/>
        <v>Met</v>
      </c>
      <c r="S36" t="s">
        <v>43</v>
      </c>
      <c r="T36" t="s">
        <v>21</v>
      </c>
      <c r="U36">
        <v>2.7</v>
      </c>
      <c r="V36" t="s">
        <v>36</v>
      </c>
      <c r="W36">
        <f t="shared" si="4"/>
        <v>1</v>
      </c>
    </row>
    <row r="37" spans="1:23">
      <c r="A37" t="s">
        <v>123</v>
      </c>
      <c r="B37">
        <v>46188.333784722221</v>
      </c>
      <c r="C37">
        <v>46188.497129363423</v>
      </c>
      <c r="D37">
        <v>46189.097069710646</v>
      </c>
      <c r="E37" t="s">
        <v>75</v>
      </c>
      <c r="F37" t="s">
        <v>5</v>
      </c>
      <c r="G37" t="s">
        <v>79</v>
      </c>
      <c r="H37" t="s">
        <v>109</v>
      </c>
      <c r="I37" t="s">
        <v>89</v>
      </c>
      <c r="J37" t="s">
        <v>12</v>
      </c>
      <c r="K37" t="s">
        <v>68</v>
      </c>
      <c r="L37">
        <v>4</v>
      </c>
      <c r="M37">
        <f t="shared" si="0"/>
        <v>3.9202713888371363</v>
      </c>
      <c r="N37">
        <f t="shared" si="1"/>
        <v>18.318839722196572</v>
      </c>
      <c r="O37">
        <f>VLOOKUP(F37,SLA_Targets!$A$2:$C$5,2,FALSE)</f>
        <v>4</v>
      </c>
      <c r="P37">
        <f>VLOOKUP(F37,SLA_Targets!$A$2:$C$5,3,FALSE)</f>
        <v>24</v>
      </c>
      <c r="Q37" t="str">
        <f t="shared" si="2"/>
        <v>Met</v>
      </c>
      <c r="R37" t="str">
        <f t="shared" si="3"/>
        <v>Met</v>
      </c>
      <c r="S37" t="s">
        <v>13</v>
      </c>
      <c r="T37" t="s">
        <v>14</v>
      </c>
      <c r="U37">
        <v>4.2</v>
      </c>
      <c r="V37" t="s">
        <v>15</v>
      </c>
      <c r="W37">
        <f t="shared" si="4"/>
        <v>1</v>
      </c>
    </row>
    <row r="38" spans="1:23">
      <c r="A38" t="s">
        <v>124</v>
      </c>
      <c r="B38">
        <v>46157.969594907408</v>
      </c>
      <c r="C38">
        <v>46158.034373402777</v>
      </c>
      <c r="D38">
        <v>46158.180623958331</v>
      </c>
      <c r="E38" t="s">
        <v>75</v>
      </c>
      <c r="F38" t="s">
        <v>4</v>
      </c>
      <c r="G38" t="s">
        <v>105</v>
      </c>
      <c r="H38" t="s">
        <v>88</v>
      </c>
      <c r="I38" t="s">
        <v>73</v>
      </c>
      <c r="J38" t="s">
        <v>44</v>
      </c>
      <c r="K38" t="s">
        <v>68</v>
      </c>
      <c r="L38">
        <v>4</v>
      </c>
      <c r="M38">
        <f t="shared" si="0"/>
        <v>1.5546838888549246</v>
      </c>
      <c r="N38">
        <f t="shared" si="1"/>
        <v>5.0646972221438773</v>
      </c>
      <c r="O38">
        <f>VLOOKUP(F38,SLA_Targets!$A$2:$C$5,2,FALSE)</f>
        <v>1</v>
      </c>
      <c r="P38">
        <f>VLOOKUP(F38,SLA_Targets!$A$2:$C$5,3,FALSE)</f>
        <v>8</v>
      </c>
      <c r="Q38" t="str">
        <f t="shared" si="2"/>
        <v>Breached</v>
      </c>
      <c r="R38" t="str">
        <f t="shared" si="3"/>
        <v>Met</v>
      </c>
      <c r="S38" t="s">
        <v>45</v>
      </c>
      <c r="T38" t="s">
        <v>33</v>
      </c>
      <c r="U38">
        <v>5.0999999999999996</v>
      </c>
      <c r="V38" t="s">
        <v>30</v>
      </c>
      <c r="W38">
        <f t="shared" si="4"/>
        <v>1</v>
      </c>
    </row>
    <row r="39" spans="1:23">
      <c r="A39" t="s">
        <v>125</v>
      </c>
      <c r="B39">
        <v>46178.207997685182</v>
      </c>
      <c r="C39">
        <v>46178.223226030095</v>
      </c>
      <c r="D39">
        <v>46178.556922430558</v>
      </c>
      <c r="E39" t="s">
        <v>75</v>
      </c>
      <c r="F39" t="s">
        <v>3</v>
      </c>
      <c r="G39" t="s">
        <v>94</v>
      </c>
      <c r="H39" t="s">
        <v>84</v>
      </c>
      <c r="I39" t="s">
        <v>73</v>
      </c>
      <c r="J39" t="s">
        <v>16</v>
      </c>
      <c r="K39" t="s">
        <v>68</v>
      </c>
      <c r="L39">
        <v>3</v>
      </c>
      <c r="M39">
        <f t="shared" si="0"/>
        <v>0.36548027792014182</v>
      </c>
      <c r="N39">
        <f t="shared" si="1"/>
        <v>8.374193889030721</v>
      </c>
      <c r="O39">
        <f>VLOOKUP(F39,SLA_Targets!$A$2:$C$5,2,FALSE)</f>
        <v>0.5</v>
      </c>
      <c r="P39">
        <f>VLOOKUP(F39,SLA_Targets!$A$2:$C$5,3,FALSE)</f>
        <v>4</v>
      </c>
      <c r="Q39" t="str">
        <f t="shared" si="2"/>
        <v>Met</v>
      </c>
      <c r="R39" t="str">
        <f t="shared" si="3"/>
        <v>Breached</v>
      </c>
      <c r="S39" t="s">
        <v>17</v>
      </c>
      <c r="T39" t="s">
        <v>14</v>
      </c>
      <c r="U39">
        <v>2.1</v>
      </c>
      <c r="V39" t="s">
        <v>18</v>
      </c>
      <c r="W39">
        <f t="shared" si="4"/>
        <v>1</v>
      </c>
    </row>
    <row r="40" spans="1:23">
      <c r="A40" t="s">
        <v>126</v>
      </c>
      <c r="B40">
        <v>46121.645520833335</v>
      </c>
      <c r="C40">
        <v>46121.84635133102</v>
      </c>
      <c r="D40">
        <v>46122.125395011572</v>
      </c>
      <c r="E40" t="s">
        <v>75</v>
      </c>
      <c r="F40" t="s">
        <v>5</v>
      </c>
      <c r="G40" t="s">
        <v>79</v>
      </c>
      <c r="H40" t="s">
        <v>66</v>
      </c>
      <c r="I40" t="s">
        <v>73</v>
      </c>
      <c r="J40" t="s">
        <v>37</v>
      </c>
      <c r="K40" t="s">
        <v>68</v>
      </c>
      <c r="L40">
        <v>3</v>
      </c>
      <c r="M40">
        <f t="shared" si="0"/>
        <v>4.8199319444247521</v>
      </c>
      <c r="N40">
        <f t="shared" si="1"/>
        <v>11.516980277665425</v>
      </c>
      <c r="O40">
        <f>VLOOKUP(F40,SLA_Targets!$A$2:$C$5,2,FALSE)</f>
        <v>4</v>
      </c>
      <c r="P40">
        <f>VLOOKUP(F40,SLA_Targets!$A$2:$C$5,3,FALSE)</f>
        <v>24</v>
      </c>
      <c r="Q40" t="str">
        <f t="shared" si="2"/>
        <v>Breached</v>
      </c>
      <c r="R40" t="str">
        <f t="shared" si="3"/>
        <v>Met</v>
      </c>
      <c r="S40" t="s">
        <v>38</v>
      </c>
      <c r="T40" t="s">
        <v>14</v>
      </c>
      <c r="U40">
        <v>1.2</v>
      </c>
      <c r="V40" t="s">
        <v>39</v>
      </c>
      <c r="W40">
        <f t="shared" si="4"/>
        <v>1</v>
      </c>
    </row>
    <row r="41" spans="1:23">
      <c r="A41" t="s">
        <v>127</v>
      </c>
      <c r="B41">
        <v>46146.708865740744</v>
      </c>
      <c r="C41">
        <v>46146.80557478009</v>
      </c>
      <c r="D41">
        <v>46147.717429097225</v>
      </c>
      <c r="E41" t="s">
        <v>70</v>
      </c>
      <c r="F41" t="s">
        <v>5</v>
      </c>
      <c r="G41" t="s">
        <v>94</v>
      </c>
      <c r="H41" t="s">
        <v>106</v>
      </c>
      <c r="I41" t="s">
        <v>73</v>
      </c>
      <c r="J41" t="s">
        <v>16</v>
      </c>
      <c r="K41" t="s">
        <v>68</v>
      </c>
      <c r="L41">
        <v>4</v>
      </c>
      <c r="M41">
        <f t="shared" si="0"/>
        <v>2.3210169443045743</v>
      </c>
      <c r="N41">
        <f t="shared" si="1"/>
        <v>24.20552055555163</v>
      </c>
      <c r="O41">
        <f>VLOOKUP(F41,SLA_Targets!$A$2:$C$5,2,FALSE)</f>
        <v>4</v>
      </c>
      <c r="P41">
        <f>VLOOKUP(F41,SLA_Targets!$A$2:$C$5,3,FALSE)</f>
        <v>24</v>
      </c>
      <c r="Q41" t="str">
        <f t="shared" si="2"/>
        <v>Met</v>
      </c>
      <c r="R41" t="str">
        <f t="shared" si="3"/>
        <v>Breached</v>
      </c>
      <c r="S41" t="s">
        <v>17</v>
      </c>
      <c r="T41" t="s">
        <v>14</v>
      </c>
      <c r="U41">
        <v>2.1</v>
      </c>
      <c r="V41" t="s">
        <v>18</v>
      </c>
      <c r="W41">
        <f t="shared" si="4"/>
        <v>1</v>
      </c>
    </row>
    <row r="42" spans="1:23">
      <c r="A42" t="s">
        <v>128</v>
      </c>
      <c r="B42">
        <v>46131.930115740739</v>
      </c>
      <c r="C42">
        <v>46132.042713576389</v>
      </c>
      <c r="D42">
        <v>46132.413083738429</v>
      </c>
      <c r="E42" t="s">
        <v>75</v>
      </c>
      <c r="F42" t="s">
        <v>5</v>
      </c>
      <c r="G42" t="s">
        <v>79</v>
      </c>
      <c r="H42" t="s">
        <v>88</v>
      </c>
      <c r="I42" t="s">
        <v>67</v>
      </c>
      <c r="J42" t="s">
        <v>37</v>
      </c>
      <c r="K42" t="s">
        <v>85</v>
      </c>
      <c r="L42">
        <v>4</v>
      </c>
      <c r="M42">
        <f t="shared" si="0"/>
        <v>2.7023480556090362</v>
      </c>
      <c r="N42">
        <f t="shared" si="1"/>
        <v>11.591231944563333</v>
      </c>
      <c r="O42">
        <f>VLOOKUP(F42,SLA_Targets!$A$2:$C$5,2,FALSE)</f>
        <v>4</v>
      </c>
      <c r="P42">
        <f>VLOOKUP(F42,SLA_Targets!$A$2:$C$5,3,FALSE)</f>
        <v>24</v>
      </c>
      <c r="Q42" t="str">
        <f t="shared" si="2"/>
        <v>Met</v>
      </c>
      <c r="R42" t="str">
        <f t="shared" si="3"/>
        <v>Met</v>
      </c>
      <c r="S42" t="s">
        <v>38</v>
      </c>
      <c r="T42" t="s">
        <v>14</v>
      </c>
      <c r="U42">
        <v>1.2</v>
      </c>
      <c r="V42" t="s">
        <v>39</v>
      </c>
      <c r="W42">
        <f t="shared" si="4"/>
        <v>1</v>
      </c>
    </row>
    <row r="43" spans="1:23">
      <c r="A43" t="s">
        <v>129</v>
      </c>
      <c r="B43">
        <v>46175.264328703706</v>
      </c>
      <c r="C43">
        <v>46175.338133240744</v>
      </c>
      <c r="D43">
        <v>46175.841108414352</v>
      </c>
      <c r="E43" t="s">
        <v>70</v>
      </c>
      <c r="F43" t="s">
        <v>5</v>
      </c>
      <c r="G43" t="s">
        <v>98</v>
      </c>
      <c r="H43" t="s">
        <v>88</v>
      </c>
      <c r="I43" t="s">
        <v>73</v>
      </c>
      <c r="J43" t="s">
        <v>12</v>
      </c>
      <c r="K43" t="s">
        <v>68</v>
      </c>
      <c r="L43">
        <v>5</v>
      </c>
      <c r="M43">
        <f t="shared" si="0"/>
        <v>1.7713088889140636</v>
      </c>
      <c r="N43">
        <f t="shared" si="1"/>
        <v>13.842713055491913</v>
      </c>
      <c r="O43">
        <f>VLOOKUP(F43,SLA_Targets!$A$2:$C$5,2,FALSE)</f>
        <v>4</v>
      </c>
      <c r="P43">
        <f>VLOOKUP(F43,SLA_Targets!$A$2:$C$5,3,FALSE)</f>
        <v>24</v>
      </c>
      <c r="Q43" t="str">
        <f t="shared" si="2"/>
        <v>Met</v>
      </c>
      <c r="R43" t="str">
        <f t="shared" si="3"/>
        <v>Met</v>
      </c>
      <c r="S43" t="s">
        <v>13</v>
      </c>
      <c r="T43" t="s">
        <v>14</v>
      </c>
      <c r="U43">
        <v>4.2</v>
      </c>
      <c r="V43" t="s">
        <v>15</v>
      </c>
      <c r="W43">
        <f t="shared" si="4"/>
        <v>1</v>
      </c>
    </row>
    <row r="44" spans="1:23">
      <c r="A44" t="s">
        <v>130</v>
      </c>
      <c r="B44">
        <v>46137.430277777778</v>
      </c>
      <c r="C44">
        <v>46137.535190208335</v>
      </c>
      <c r="D44">
        <v>46137.900500833333</v>
      </c>
      <c r="E44" t="s">
        <v>75</v>
      </c>
      <c r="F44" t="s">
        <v>5</v>
      </c>
      <c r="G44" t="s">
        <v>65</v>
      </c>
      <c r="H44" t="s">
        <v>66</v>
      </c>
      <c r="I44" t="s">
        <v>73</v>
      </c>
      <c r="J44" t="s">
        <v>42</v>
      </c>
      <c r="K44" t="s">
        <v>68</v>
      </c>
      <c r="L44">
        <v>5</v>
      </c>
      <c r="M44">
        <f t="shared" si="0"/>
        <v>2.5178983333753422</v>
      </c>
      <c r="N44">
        <f t="shared" si="1"/>
        <v>11.285353333340026</v>
      </c>
      <c r="O44">
        <f>VLOOKUP(F44,SLA_Targets!$A$2:$C$5,2,FALSE)</f>
        <v>4</v>
      </c>
      <c r="P44">
        <f>VLOOKUP(F44,SLA_Targets!$A$2:$C$5,3,FALSE)</f>
        <v>24</v>
      </c>
      <c r="Q44" t="str">
        <f t="shared" si="2"/>
        <v>Met</v>
      </c>
      <c r="R44" t="str">
        <f t="shared" si="3"/>
        <v>Met</v>
      </c>
      <c r="S44" t="s">
        <v>43</v>
      </c>
      <c r="T44" t="s">
        <v>21</v>
      </c>
      <c r="U44">
        <v>2.7</v>
      </c>
      <c r="V44" t="s">
        <v>36</v>
      </c>
      <c r="W44">
        <f t="shared" si="4"/>
        <v>1</v>
      </c>
    </row>
    <row r="45" spans="1:23">
      <c r="A45" t="s">
        <v>131</v>
      </c>
      <c r="B45">
        <v>46174.064814814818</v>
      </c>
      <c r="C45">
        <v>46174.152595</v>
      </c>
      <c r="E45" t="s">
        <v>132</v>
      </c>
      <c r="F45" t="s">
        <v>5</v>
      </c>
      <c r="G45" t="s">
        <v>79</v>
      </c>
      <c r="H45" t="s">
        <v>66</v>
      </c>
      <c r="I45" t="s">
        <v>89</v>
      </c>
      <c r="J45" t="s">
        <v>12</v>
      </c>
      <c r="K45" t="s">
        <v>68</v>
      </c>
      <c r="M45">
        <f t="shared" si="0"/>
        <v>2.1067244443693198</v>
      </c>
      <c r="N45" t="str">
        <f t="shared" si="1"/>
        <v/>
      </c>
      <c r="O45">
        <f>VLOOKUP(F45,SLA_Targets!$A$2:$C$5,2,FALSE)</f>
        <v>4</v>
      </c>
      <c r="P45">
        <f>VLOOKUP(F45,SLA_Targets!$A$2:$C$5,3,FALSE)</f>
        <v>24</v>
      </c>
      <c r="Q45" t="str">
        <f t="shared" si="2"/>
        <v>Met</v>
      </c>
      <c r="R45" t="str">
        <f t="shared" si="3"/>
        <v>Pending</v>
      </c>
      <c r="S45" t="s">
        <v>13</v>
      </c>
      <c r="T45" t="s">
        <v>14</v>
      </c>
      <c r="U45">
        <v>4.2</v>
      </c>
      <c r="V45" t="s">
        <v>15</v>
      </c>
      <c r="W45">
        <f t="shared" si="4"/>
        <v>1</v>
      </c>
    </row>
    <row r="46" spans="1:23">
      <c r="A46" t="s">
        <v>133</v>
      </c>
      <c r="B46">
        <v>46181.971932870372</v>
      </c>
      <c r="C46">
        <v>46182.387703738423</v>
      </c>
      <c r="D46">
        <v>46185.578568287034</v>
      </c>
      <c r="E46" t="s">
        <v>75</v>
      </c>
      <c r="F46" t="s">
        <v>6</v>
      </c>
      <c r="G46" t="s">
        <v>79</v>
      </c>
      <c r="H46" t="s">
        <v>66</v>
      </c>
      <c r="I46" t="s">
        <v>67</v>
      </c>
      <c r="J46" t="s">
        <v>12</v>
      </c>
      <c r="K46" t="s">
        <v>68</v>
      </c>
      <c r="L46">
        <v>4</v>
      </c>
      <c r="M46">
        <f t="shared" si="0"/>
        <v>9.978500833211001</v>
      </c>
      <c r="N46">
        <f t="shared" si="1"/>
        <v>86.559249999874737</v>
      </c>
      <c r="O46">
        <f>VLOOKUP(F46,SLA_Targets!$A$2:$C$5,2,FALSE)</f>
        <v>8</v>
      </c>
      <c r="P46">
        <f>VLOOKUP(F46,SLA_Targets!$A$2:$C$5,3,FALSE)</f>
        <v>48</v>
      </c>
      <c r="Q46" t="str">
        <f t="shared" si="2"/>
        <v>Breached</v>
      </c>
      <c r="R46" t="str">
        <f t="shared" si="3"/>
        <v>Breached</v>
      </c>
      <c r="S46" t="s">
        <v>13</v>
      </c>
      <c r="T46" t="s">
        <v>14</v>
      </c>
      <c r="U46">
        <v>4.2</v>
      </c>
      <c r="V46" t="s">
        <v>15</v>
      </c>
      <c r="W46">
        <f t="shared" si="4"/>
        <v>1</v>
      </c>
    </row>
    <row r="47" spans="1:23">
      <c r="A47" t="s">
        <v>134</v>
      </c>
      <c r="B47">
        <v>46193.591249999998</v>
      </c>
      <c r="C47">
        <v>46193.602609513888</v>
      </c>
      <c r="D47">
        <v>46193.747485509259</v>
      </c>
      <c r="E47" t="s">
        <v>75</v>
      </c>
      <c r="F47" t="s">
        <v>3</v>
      </c>
      <c r="G47" t="s">
        <v>65</v>
      </c>
      <c r="H47" t="s">
        <v>88</v>
      </c>
      <c r="I47" t="s">
        <v>73</v>
      </c>
      <c r="J47" t="s">
        <v>23</v>
      </c>
      <c r="K47" t="s">
        <v>85</v>
      </c>
      <c r="L47">
        <v>3</v>
      </c>
      <c r="M47">
        <f t="shared" si="0"/>
        <v>0.27262833336135373</v>
      </c>
      <c r="N47">
        <f t="shared" si="1"/>
        <v>3.7496522222645581</v>
      </c>
      <c r="O47">
        <f>VLOOKUP(F47,SLA_Targets!$A$2:$C$5,2,FALSE)</f>
        <v>0.5</v>
      </c>
      <c r="P47">
        <f>VLOOKUP(F47,SLA_Targets!$A$2:$C$5,3,FALSE)</f>
        <v>4</v>
      </c>
      <c r="Q47" t="str">
        <f t="shared" si="2"/>
        <v>Met</v>
      </c>
      <c r="R47" t="str">
        <f t="shared" si="3"/>
        <v>Met</v>
      </c>
      <c r="S47" t="s">
        <v>24</v>
      </c>
      <c r="T47" t="s">
        <v>21</v>
      </c>
      <c r="U47">
        <v>3.4</v>
      </c>
      <c r="V47" t="s">
        <v>22</v>
      </c>
      <c r="W47">
        <f t="shared" si="4"/>
        <v>1</v>
      </c>
    </row>
    <row r="48" spans="1:23">
      <c r="A48" t="s">
        <v>135</v>
      </c>
      <c r="B48">
        <v>46137.641643518517</v>
      </c>
      <c r="C48">
        <v>46137.65044834491</v>
      </c>
      <c r="D48">
        <v>46137.711559131945</v>
      </c>
      <c r="E48" t="s">
        <v>70</v>
      </c>
      <c r="F48" t="s">
        <v>3</v>
      </c>
      <c r="G48" t="s">
        <v>65</v>
      </c>
      <c r="H48" t="s">
        <v>109</v>
      </c>
      <c r="I48" t="s">
        <v>89</v>
      </c>
      <c r="J48" t="s">
        <v>42</v>
      </c>
      <c r="K48" t="s">
        <v>68</v>
      </c>
      <c r="L48">
        <v>5</v>
      </c>
      <c r="M48">
        <f t="shared" si="0"/>
        <v>0.21131583343958482</v>
      </c>
      <c r="N48">
        <f t="shared" si="1"/>
        <v>1.6779747222899459</v>
      </c>
      <c r="O48">
        <f>VLOOKUP(F48,SLA_Targets!$A$2:$C$5,2,FALSE)</f>
        <v>0.5</v>
      </c>
      <c r="P48">
        <f>VLOOKUP(F48,SLA_Targets!$A$2:$C$5,3,FALSE)</f>
        <v>4</v>
      </c>
      <c r="Q48" t="str">
        <f t="shared" si="2"/>
        <v>Met</v>
      </c>
      <c r="R48" t="str">
        <f t="shared" si="3"/>
        <v>Met</v>
      </c>
      <c r="S48" t="s">
        <v>43</v>
      </c>
      <c r="T48" t="s">
        <v>21</v>
      </c>
      <c r="U48">
        <v>2.7</v>
      </c>
      <c r="V48" t="s">
        <v>36</v>
      </c>
      <c r="W48">
        <f t="shared" si="4"/>
        <v>1</v>
      </c>
    </row>
    <row r="49" spans="1:23">
      <c r="A49" t="s">
        <v>136</v>
      </c>
      <c r="B49">
        <v>46192.388668981483</v>
      </c>
      <c r="C49">
        <v>46192.399710925929</v>
      </c>
      <c r="D49">
        <v>46192.526640011572</v>
      </c>
      <c r="E49" t="s">
        <v>75</v>
      </c>
      <c r="F49" t="s">
        <v>3</v>
      </c>
      <c r="G49" t="s">
        <v>71</v>
      </c>
      <c r="H49" t="s">
        <v>72</v>
      </c>
      <c r="I49" t="s">
        <v>73</v>
      </c>
      <c r="J49" t="s">
        <v>28</v>
      </c>
      <c r="K49" t="s">
        <v>68</v>
      </c>
      <c r="L49">
        <v>5</v>
      </c>
      <c r="M49">
        <f t="shared" si="0"/>
        <v>0.26500666671199724</v>
      </c>
      <c r="N49">
        <f t="shared" si="1"/>
        <v>3.31130472215591</v>
      </c>
      <c r="O49">
        <f>VLOOKUP(F49,SLA_Targets!$A$2:$C$5,2,FALSE)</f>
        <v>0.5</v>
      </c>
      <c r="P49">
        <f>VLOOKUP(F49,SLA_Targets!$A$2:$C$5,3,FALSE)</f>
        <v>4</v>
      </c>
      <c r="Q49" t="str">
        <f t="shared" si="2"/>
        <v>Met</v>
      </c>
      <c r="R49" t="str">
        <f t="shared" si="3"/>
        <v>Met</v>
      </c>
      <c r="S49" t="s">
        <v>29</v>
      </c>
      <c r="T49" t="s">
        <v>27</v>
      </c>
      <c r="U49">
        <v>1.8</v>
      </c>
      <c r="V49" t="s">
        <v>30</v>
      </c>
      <c r="W49">
        <f t="shared" si="4"/>
        <v>1</v>
      </c>
    </row>
    <row r="50" spans="1:23">
      <c r="A50" t="s">
        <v>137</v>
      </c>
      <c r="B50">
        <v>46137.838831018518</v>
      </c>
      <c r="C50">
        <v>46138.033425729169</v>
      </c>
      <c r="D50">
        <v>46141.043908842592</v>
      </c>
      <c r="E50" t="s">
        <v>75</v>
      </c>
      <c r="F50" t="s">
        <v>6</v>
      </c>
      <c r="G50" t="s">
        <v>79</v>
      </c>
      <c r="H50" t="s">
        <v>109</v>
      </c>
      <c r="I50" t="s">
        <v>73</v>
      </c>
      <c r="J50" t="s">
        <v>16</v>
      </c>
      <c r="K50" t="s">
        <v>68</v>
      </c>
      <c r="L50">
        <v>4</v>
      </c>
      <c r="M50">
        <f t="shared" si="0"/>
        <v>4.6702730556135066</v>
      </c>
      <c r="N50">
        <f t="shared" si="1"/>
        <v>76.921867777768057</v>
      </c>
      <c r="O50">
        <f>VLOOKUP(F50,SLA_Targets!$A$2:$C$5,2,FALSE)</f>
        <v>8</v>
      </c>
      <c r="P50">
        <f>VLOOKUP(F50,SLA_Targets!$A$2:$C$5,3,FALSE)</f>
        <v>48</v>
      </c>
      <c r="Q50" t="str">
        <f t="shared" si="2"/>
        <v>Met</v>
      </c>
      <c r="R50" t="str">
        <f t="shared" si="3"/>
        <v>Breached</v>
      </c>
      <c r="S50" t="s">
        <v>17</v>
      </c>
      <c r="T50" t="s">
        <v>14</v>
      </c>
      <c r="U50">
        <v>2.1</v>
      </c>
      <c r="V50" t="s">
        <v>18</v>
      </c>
      <c r="W50">
        <f t="shared" si="4"/>
        <v>1</v>
      </c>
    </row>
    <row r="51" spans="1:23">
      <c r="A51" t="s">
        <v>138</v>
      </c>
      <c r="B51">
        <v>46203.401423611111</v>
      </c>
      <c r="C51">
        <v>46203.729046377317</v>
      </c>
      <c r="D51">
        <v>46204.2211030787</v>
      </c>
      <c r="E51" t="s">
        <v>75</v>
      </c>
      <c r="F51" t="s">
        <v>6</v>
      </c>
      <c r="G51" t="s">
        <v>79</v>
      </c>
      <c r="H51" t="s">
        <v>80</v>
      </c>
      <c r="I51" t="s">
        <v>92</v>
      </c>
      <c r="J51" t="s">
        <v>16</v>
      </c>
      <c r="K51" t="s">
        <v>68</v>
      </c>
      <c r="L51">
        <v>5</v>
      </c>
      <c r="M51">
        <f t="shared" si="0"/>
        <v>7.8629463889519684</v>
      </c>
      <c r="N51">
        <f t="shared" si="1"/>
        <v>19.672307222150266</v>
      </c>
      <c r="O51">
        <f>VLOOKUP(F51,SLA_Targets!$A$2:$C$5,2,FALSE)</f>
        <v>8</v>
      </c>
      <c r="P51">
        <f>VLOOKUP(F51,SLA_Targets!$A$2:$C$5,3,FALSE)</f>
        <v>48</v>
      </c>
      <c r="Q51" t="str">
        <f t="shared" si="2"/>
        <v>Met</v>
      </c>
      <c r="R51" t="str">
        <f t="shared" si="3"/>
        <v>Met</v>
      </c>
      <c r="S51" t="s">
        <v>17</v>
      </c>
      <c r="T51" t="s">
        <v>14</v>
      </c>
      <c r="U51">
        <v>2.1</v>
      </c>
      <c r="V51" t="s">
        <v>18</v>
      </c>
      <c r="W51">
        <f t="shared" si="4"/>
        <v>1</v>
      </c>
    </row>
    <row r="52" spans="1:23">
      <c r="A52" t="s">
        <v>139</v>
      </c>
      <c r="B52">
        <v>46124.738159722219</v>
      </c>
      <c r="C52">
        <v>46124.770797939818</v>
      </c>
      <c r="D52">
        <v>46124.989433449075</v>
      </c>
      <c r="E52" t="s">
        <v>75</v>
      </c>
      <c r="F52" t="s">
        <v>4</v>
      </c>
      <c r="G52" t="s">
        <v>76</v>
      </c>
      <c r="H52" t="s">
        <v>88</v>
      </c>
      <c r="I52" t="s">
        <v>73</v>
      </c>
      <c r="J52" t="s">
        <v>40</v>
      </c>
      <c r="K52" t="s">
        <v>68</v>
      </c>
      <c r="L52">
        <v>4</v>
      </c>
      <c r="M52">
        <f t="shared" si="0"/>
        <v>0.78331722237635404</v>
      </c>
      <c r="N52">
        <f t="shared" si="1"/>
        <v>6.0305694445269182</v>
      </c>
      <c r="O52">
        <f>VLOOKUP(F52,SLA_Targets!$A$2:$C$5,2,FALSE)</f>
        <v>1</v>
      </c>
      <c r="P52">
        <f>VLOOKUP(F52,SLA_Targets!$A$2:$C$5,3,FALSE)</f>
        <v>8</v>
      </c>
      <c r="Q52" t="str">
        <f t="shared" si="2"/>
        <v>Met</v>
      </c>
      <c r="R52" t="str">
        <f t="shared" si="3"/>
        <v>Met</v>
      </c>
      <c r="S52" t="s">
        <v>41</v>
      </c>
      <c r="T52" t="s">
        <v>27</v>
      </c>
      <c r="U52">
        <v>4.8</v>
      </c>
      <c r="V52" t="s">
        <v>39</v>
      </c>
      <c r="W52">
        <f t="shared" si="4"/>
        <v>1</v>
      </c>
    </row>
    <row r="53" spans="1:23">
      <c r="A53" t="s">
        <v>140</v>
      </c>
      <c r="B53">
        <v>46126.586967592593</v>
      </c>
      <c r="C53">
        <v>46126.749739918982</v>
      </c>
      <c r="D53">
        <v>46128.196044803241</v>
      </c>
      <c r="E53" t="s">
        <v>75</v>
      </c>
      <c r="F53" t="s">
        <v>5</v>
      </c>
      <c r="G53" t="s">
        <v>98</v>
      </c>
      <c r="H53" t="s">
        <v>106</v>
      </c>
      <c r="I53" t="s">
        <v>73</v>
      </c>
      <c r="J53" t="s">
        <v>16</v>
      </c>
      <c r="K53" t="s">
        <v>68</v>
      </c>
      <c r="L53">
        <v>4</v>
      </c>
      <c r="M53">
        <f t="shared" si="0"/>
        <v>3.9065358333173208</v>
      </c>
      <c r="N53">
        <f t="shared" si="1"/>
        <v>38.617853055533487</v>
      </c>
      <c r="O53">
        <f>VLOOKUP(F53,SLA_Targets!$A$2:$C$5,2,FALSE)</f>
        <v>4</v>
      </c>
      <c r="P53">
        <f>VLOOKUP(F53,SLA_Targets!$A$2:$C$5,3,FALSE)</f>
        <v>24</v>
      </c>
      <c r="Q53" t="str">
        <f t="shared" si="2"/>
        <v>Met</v>
      </c>
      <c r="R53" t="str">
        <f t="shared" si="3"/>
        <v>Breached</v>
      </c>
      <c r="S53" t="s">
        <v>17</v>
      </c>
      <c r="T53" t="s">
        <v>14</v>
      </c>
      <c r="U53">
        <v>2.1</v>
      </c>
      <c r="V53" t="s">
        <v>18</v>
      </c>
      <c r="W53">
        <f t="shared" si="4"/>
        <v>1</v>
      </c>
    </row>
    <row r="54" spans="1:23">
      <c r="A54" t="s">
        <v>141</v>
      </c>
      <c r="B54">
        <v>46144.574814814812</v>
      </c>
      <c r="C54">
        <v>46144.720714467592</v>
      </c>
      <c r="D54">
        <v>46145.273136597221</v>
      </c>
      <c r="E54" t="s">
        <v>70</v>
      </c>
      <c r="F54" t="s">
        <v>6</v>
      </c>
      <c r="G54" t="s">
        <v>98</v>
      </c>
      <c r="H54" t="s">
        <v>72</v>
      </c>
      <c r="I54" t="s">
        <v>67</v>
      </c>
      <c r="J54" t="s">
        <v>12</v>
      </c>
      <c r="K54" t="s">
        <v>68</v>
      </c>
      <c r="L54">
        <v>4</v>
      </c>
      <c r="M54">
        <f t="shared" si="0"/>
        <v>3.5015916667180136</v>
      </c>
      <c r="N54">
        <f t="shared" si="1"/>
        <v>16.759722777816933</v>
      </c>
      <c r="O54">
        <f>VLOOKUP(F54,SLA_Targets!$A$2:$C$5,2,FALSE)</f>
        <v>8</v>
      </c>
      <c r="P54">
        <f>VLOOKUP(F54,SLA_Targets!$A$2:$C$5,3,FALSE)</f>
        <v>48</v>
      </c>
      <c r="Q54" t="str">
        <f t="shared" si="2"/>
        <v>Met</v>
      </c>
      <c r="R54" t="str">
        <f t="shared" si="3"/>
        <v>Met</v>
      </c>
      <c r="S54" t="s">
        <v>13</v>
      </c>
      <c r="T54" t="s">
        <v>14</v>
      </c>
      <c r="U54">
        <v>4.2</v>
      </c>
      <c r="V54" t="s">
        <v>15</v>
      </c>
      <c r="W54">
        <f t="shared" si="4"/>
        <v>1</v>
      </c>
    </row>
    <row r="55" spans="1:23">
      <c r="A55" t="s">
        <v>142</v>
      </c>
      <c r="B55">
        <v>46176.638090277775</v>
      </c>
      <c r="C55">
        <v>46176.670002152779</v>
      </c>
      <c r="D55">
        <v>46177.057812407409</v>
      </c>
      <c r="E55" t="s">
        <v>75</v>
      </c>
      <c r="F55" t="s">
        <v>4</v>
      </c>
      <c r="G55" t="s">
        <v>83</v>
      </c>
      <c r="H55" t="s">
        <v>84</v>
      </c>
      <c r="I55" t="s">
        <v>92</v>
      </c>
      <c r="J55" t="s">
        <v>31</v>
      </c>
      <c r="K55" t="s">
        <v>85</v>
      </c>
      <c r="L55">
        <v>3</v>
      </c>
      <c r="M55">
        <f t="shared" si="0"/>
        <v>0.76588500011712313</v>
      </c>
      <c r="N55">
        <f t="shared" si="1"/>
        <v>10.073331111227162</v>
      </c>
      <c r="O55">
        <f>VLOOKUP(F55,SLA_Targets!$A$2:$C$5,2,FALSE)</f>
        <v>1</v>
      </c>
      <c r="P55">
        <f>VLOOKUP(F55,SLA_Targets!$A$2:$C$5,3,FALSE)</f>
        <v>8</v>
      </c>
      <c r="Q55" t="str">
        <f t="shared" si="2"/>
        <v>Met</v>
      </c>
      <c r="R55" t="str">
        <f t="shared" si="3"/>
        <v>Breached</v>
      </c>
      <c r="S55" t="s">
        <v>32</v>
      </c>
      <c r="T55" t="s">
        <v>33</v>
      </c>
      <c r="U55">
        <v>7.1</v>
      </c>
      <c r="V55" t="s">
        <v>18</v>
      </c>
      <c r="W55">
        <f t="shared" si="4"/>
        <v>1</v>
      </c>
    </row>
    <row r="56" spans="1:23">
      <c r="A56" t="s">
        <v>143</v>
      </c>
      <c r="B56">
        <v>46165.142916666664</v>
      </c>
      <c r="C56">
        <v>46165.300137916667</v>
      </c>
      <c r="D56">
        <v>46165.386814537036</v>
      </c>
      <c r="E56" t="s">
        <v>75</v>
      </c>
      <c r="F56" t="s">
        <v>5</v>
      </c>
      <c r="G56" t="s">
        <v>94</v>
      </c>
      <c r="H56" t="s">
        <v>77</v>
      </c>
      <c r="I56" t="s">
        <v>73</v>
      </c>
      <c r="J56" t="s">
        <v>37</v>
      </c>
      <c r="K56" t="s">
        <v>68</v>
      </c>
      <c r="L56">
        <v>5</v>
      </c>
      <c r="M56">
        <f t="shared" si="0"/>
        <v>3.77331000007689</v>
      </c>
      <c r="N56">
        <f t="shared" si="1"/>
        <v>5.8535488889319822</v>
      </c>
      <c r="O56">
        <f>VLOOKUP(F56,SLA_Targets!$A$2:$C$5,2,FALSE)</f>
        <v>4</v>
      </c>
      <c r="P56">
        <f>VLOOKUP(F56,SLA_Targets!$A$2:$C$5,3,FALSE)</f>
        <v>24</v>
      </c>
      <c r="Q56" t="str">
        <f t="shared" si="2"/>
        <v>Met</v>
      </c>
      <c r="R56" t="str">
        <f t="shared" si="3"/>
        <v>Met</v>
      </c>
      <c r="S56" t="s">
        <v>38</v>
      </c>
      <c r="T56" t="s">
        <v>14</v>
      </c>
      <c r="U56">
        <v>1.2</v>
      </c>
      <c r="V56" t="s">
        <v>39</v>
      </c>
      <c r="W56">
        <f t="shared" si="4"/>
        <v>1</v>
      </c>
    </row>
    <row r="57" spans="1:23">
      <c r="A57" t="s">
        <v>144</v>
      </c>
      <c r="B57">
        <v>46201.047106481485</v>
      </c>
      <c r="C57">
        <v>46201.050739652776</v>
      </c>
      <c r="D57">
        <v>46201.138486261574</v>
      </c>
      <c r="E57" t="s">
        <v>75</v>
      </c>
      <c r="F57" t="s">
        <v>3</v>
      </c>
      <c r="G57" t="s">
        <v>65</v>
      </c>
      <c r="H57" t="s">
        <v>88</v>
      </c>
      <c r="I57" t="s">
        <v>73</v>
      </c>
      <c r="J57" t="s">
        <v>19</v>
      </c>
      <c r="K57" t="s">
        <v>68</v>
      </c>
      <c r="L57">
        <v>4</v>
      </c>
      <c r="M57">
        <f t="shared" si="0"/>
        <v>8.7196110980585217E-2</v>
      </c>
      <c r="N57">
        <f t="shared" si="1"/>
        <v>2.193114722147584</v>
      </c>
      <c r="O57">
        <f>VLOOKUP(F57,SLA_Targets!$A$2:$C$5,2,FALSE)</f>
        <v>0.5</v>
      </c>
      <c r="P57">
        <f>VLOOKUP(F57,SLA_Targets!$A$2:$C$5,3,FALSE)</f>
        <v>4</v>
      </c>
      <c r="Q57" t="str">
        <f t="shared" si="2"/>
        <v>Met</v>
      </c>
      <c r="R57" t="str">
        <f t="shared" si="3"/>
        <v>Met</v>
      </c>
      <c r="S57" t="s">
        <v>20</v>
      </c>
      <c r="T57" t="s">
        <v>21</v>
      </c>
      <c r="U57">
        <v>5.6</v>
      </c>
      <c r="V57" t="s">
        <v>22</v>
      </c>
      <c r="W57">
        <f t="shared" si="4"/>
        <v>1</v>
      </c>
    </row>
    <row r="58" spans="1:23">
      <c r="A58" t="s">
        <v>145</v>
      </c>
      <c r="B58">
        <v>46201.960231481484</v>
      </c>
      <c r="C58">
        <v>46201.980484409723</v>
      </c>
      <c r="D58">
        <v>46202.145332442131</v>
      </c>
      <c r="E58" t="s">
        <v>75</v>
      </c>
      <c r="F58" t="s">
        <v>4</v>
      </c>
      <c r="G58" t="s">
        <v>76</v>
      </c>
      <c r="H58" t="s">
        <v>88</v>
      </c>
      <c r="I58" t="s">
        <v>73</v>
      </c>
      <c r="J58" t="s">
        <v>40</v>
      </c>
      <c r="K58" t="s">
        <v>68</v>
      </c>
      <c r="L58">
        <v>4</v>
      </c>
      <c r="M58">
        <f t="shared" si="0"/>
        <v>0.48607027775142342</v>
      </c>
      <c r="N58">
        <f t="shared" si="1"/>
        <v>4.4424230555305257</v>
      </c>
      <c r="O58">
        <f>VLOOKUP(F58,SLA_Targets!$A$2:$C$5,2,FALSE)</f>
        <v>1</v>
      </c>
      <c r="P58">
        <f>VLOOKUP(F58,SLA_Targets!$A$2:$C$5,3,FALSE)</f>
        <v>8</v>
      </c>
      <c r="Q58" t="str">
        <f t="shared" si="2"/>
        <v>Met</v>
      </c>
      <c r="R58" t="str">
        <f t="shared" si="3"/>
        <v>Met</v>
      </c>
      <c r="S58" t="s">
        <v>41</v>
      </c>
      <c r="T58" t="s">
        <v>27</v>
      </c>
      <c r="U58">
        <v>4.8</v>
      </c>
      <c r="V58" t="s">
        <v>39</v>
      </c>
      <c r="W58">
        <f t="shared" si="4"/>
        <v>1</v>
      </c>
    </row>
    <row r="59" spans="1:23">
      <c r="A59" t="s">
        <v>146</v>
      </c>
      <c r="B59">
        <v>46195.40420138889</v>
      </c>
      <c r="C59">
        <v>46195.695567986113</v>
      </c>
      <c r="E59" t="s">
        <v>64</v>
      </c>
      <c r="F59" t="s">
        <v>6</v>
      </c>
      <c r="G59" t="s">
        <v>79</v>
      </c>
      <c r="H59" t="s">
        <v>80</v>
      </c>
      <c r="I59" t="s">
        <v>73</v>
      </c>
      <c r="J59" t="s">
        <v>16</v>
      </c>
      <c r="K59" t="s">
        <v>68</v>
      </c>
      <c r="M59">
        <f t="shared" si="0"/>
        <v>6.9927983333473094</v>
      </c>
      <c r="N59" t="str">
        <f t="shared" si="1"/>
        <v/>
      </c>
      <c r="O59">
        <f>VLOOKUP(F59,SLA_Targets!$A$2:$C$5,2,FALSE)</f>
        <v>8</v>
      </c>
      <c r="P59">
        <f>VLOOKUP(F59,SLA_Targets!$A$2:$C$5,3,FALSE)</f>
        <v>48</v>
      </c>
      <c r="Q59" t="str">
        <f t="shared" si="2"/>
        <v>Met</v>
      </c>
      <c r="R59" t="str">
        <f t="shared" si="3"/>
        <v>Pending</v>
      </c>
      <c r="S59" t="s">
        <v>17</v>
      </c>
      <c r="T59" t="s">
        <v>14</v>
      </c>
      <c r="U59">
        <v>2.1</v>
      </c>
      <c r="V59" t="s">
        <v>18</v>
      </c>
      <c r="W59">
        <f t="shared" si="4"/>
        <v>1</v>
      </c>
    </row>
    <row r="60" spans="1:23">
      <c r="A60" t="s">
        <v>147</v>
      </c>
      <c r="B60">
        <v>46201.745462962965</v>
      </c>
      <c r="C60">
        <v>46201.853488379631</v>
      </c>
      <c r="D60">
        <v>46202.08855763889</v>
      </c>
      <c r="E60" t="s">
        <v>75</v>
      </c>
      <c r="F60" t="s">
        <v>5</v>
      </c>
      <c r="G60" t="s">
        <v>76</v>
      </c>
      <c r="H60" t="s">
        <v>66</v>
      </c>
      <c r="I60" t="s">
        <v>67</v>
      </c>
      <c r="J60" t="s">
        <v>28</v>
      </c>
      <c r="K60" t="s">
        <v>68</v>
      </c>
      <c r="L60">
        <v>5</v>
      </c>
      <c r="M60">
        <f t="shared" si="0"/>
        <v>2.592609999992419</v>
      </c>
      <c r="N60">
        <f t="shared" si="1"/>
        <v>8.2342722222092561</v>
      </c>
      <c r="O60">
        <f>VLOOKUP(F60,SLA_Targets!$A$2:$C$5,2,FALSE)</f>
        <v>4</v>
      </c>
      <c r="P60">
        <f>VLOOKUP(F60,SLA_Targets!$A$2:$C$5,3,FALSE)</f>
        <v>24</v>
      </c>
      <c r="Q60" t="str">
        <f t="shared" si="2"/>
        <v>Met</v>
      </c>
      <c r="R60" t="str">
        <f t="shared" si="3"/>
        <v>Met</v>
      </c>
      <c r="S60" t="s">
        <v>29</v>
      </c>
      <c r="T60" t="s">
        <v>27</v>
      </c>
      <c r="U60">
        <v>1.8</v>
      </c>
      <c r="V60" t="s">
        <v>30</v>
      </c>
      <c r="W60">
        <f t="shared" si="4"/>
        <v>1</v>
      </c>
    </row>
    <row r="61" spans="1:23">
      <c r="A61" t="s">
        <v>148</v>
      </c>
      <c r="B61">
        <v>46117.160879629628</v>
      </c>
      <c r="C61">
        <v>46117.402492361114</v>
      </c>
      <c r="D61">
        <v>46117.989007152777</v>
      </c>
      <c r="E61" t="s">
        <v>70</v>
      </c>
      <c r="F61" t="s">
        <v>5</v>
      </c>
      <c r="G61" t="s">
        <v>79</v>
      </c>
      <c r="H61" t="s">
        <v>106</v>
      </c>
      <c r="I61" t="s">
        <v>73</v>
      </c>
      <c r="J61" t="s">
        <v>37</v>
      </c>
      <c r="K61" t="s">
        <v>68</v>
      </c>
      <c r="L61">
        <v>4</v>
      </c>
      <c r="M61">
        <f t="shared" si="0"/>
        <v>5.798705555673223</v>
      </c>
      <c r="N61">
        <f t="shared" si="1"/>
        <v>19.875060555583332</v>
      </c>
      <c r="O61">
        <f>VLOOKUP(F61,SLA_Targets!$A$2:$C$5,2,FALSE)</f>
        <v>4</v>
      </c>
      <c r="P61">
        <f>VLOOKUP(F61,SLA_Targets!$A$2:$C$5,3,FALSE)</f>
        <v>24</v>
      </c>
      <c r="Q61" t="str">
        <f t="shared" si="2"/>
        <v>Breached</v>
      </c>
      <c r="R61" t="str">
        <f t="shared" si="3"/>
        <v>Met</v>
      </c>
      <c r="S61" t="s">
        <v>38</v>
      </c>
      <c r="T61" t="s">
        <v>14</v>
      </c>
      <c r="U61">
        <v>1.2</v>
      </c>
      <c r="V61" t="s">
        <v>39</v>
      </c>
      <c r="W61">
        <f t="shared" si="4"/>
        <v>1</v>
      </c>
    </row>
    <row r="62" spans="1:23">
      <c r="A62" t="s">
        <v>149</v>
      </c>
      <c r="B62">
        <v>46162.052766203706</v>
      </c>
      <c r="C62">
        <v>46162.177556736111</v>
      </c>
      <c r="E62" t="s">
        <v>64</v>
      </c>
      <c r="F62" t="s">
        <v>5</v>
      </c>
      <c r="G62" t="s">
        <v>83</v>
      </c>
      <c r="H62" t="s">
        <v>77</v>
      </c>
      <c r="I62" t="s">
        <v>67</v>
      </c>
      <c r="J62" t="s">
        <v>34</v>
      </c>
      <c r="K62" t="s">
        <v>68</v>
      </c>
      <c r="M62">
        <f t="shared" si="0"/>
        <v>2.9949727777275257</v>
      </c>
      <c r="N62" t="str">
        <f t="shared" si="1"/>
        <v/>
      </c>
      <c r="O62">
        <f>VLOOKUP(F62,SLA_Targets!$A$2:$C$5,2,FALSE)</f>
        <v>4</v>
      </c>
      <c r="P62">
        <f>VLOOKUP(F62,SLA_Targets!$A$2:$C$5,3,FALSE)</f>
        <v>24</v>
      </c>
      <c r="Q62" t="str">
        <f t="shared" si="2"/>
        <v>Met</v>
      </c>
      <c r="R62" t="str">
        <f t="shared" si="3"/>
        <v>Pending</v>
      </c>
      <c r="S62" t="s">
        <v>35</v>
      </c>
      <c r="T62" t="s">
        <v>33</v>
      </c>
      <c r="U62">
        <v>3</v>
      </c>
      <c r="V62" t="s">
        <v>36</v>
      </c>
      <c r="W62">
        <f t="shared" si="4"/>
        <v>1</v>
      </c>
    </row>
    <row r="63" spans="1:23">
      <c r="A63" t="s">
        <v>150</v>
      </c>
      <c r="B63">
        <v>46157.488668981481</v>
      </c>
      <c r="C63">
        <v>46157.554837615739</v>
      </c>
      <c r="D63">
        <v>46158.736833402778</v>
      </c>
      <c r="E63" t="s">
        <v>75</v>
      </c>
      <c r="F63" t="s">
        <v>5</v>
      </c>
      <c r="G63" t="s">
        <v>94</v>
      </c>
      <c r="H63" t="s">
        <v>72</v>
      </c>
      <c r="I63" t="s">
        <v>92</v>
      </c>
      <c r="J63" t="s">
        <v>16</v>
      </c>
      <c r="K63" t="s">
        <v>68</v>
      </c>
      <c r="L63">
        <v>4</v>
      </c>
      <c r="M63">
        <f t="shared" si="0"/>
        <v>1.5880472221761011</v>
      </c>
      <c r="N63">
        <f t="shared" si="1"/>
        <v>29.955946111120284</v>
      </c>
      <c r="O63">
        <f>VLOOKUP(F63,SLA_Targets!$A$2:$C$5,2,FALSE)</f>
        <v>4</v>
      </c>
      <c r="P63">
        <f>VLOOKUP(F63,SLA_Targets!$A$2:$C$5,3,FALSE)</f>
        <v>24</v>
      </c>
      <c r="Q63" t="str">
        <f t="shared" si="2"/>
        <v>Met</v>
      </c>
      <c r="R63" t="str">
        <f t="shared" si="3"/>
        <v>Breached</v>
      </c>
      <c r="S63" t="s">
        <v>17</v>
      </c>
      <c r="T63" t="s">
        <v>14</v>
      </c>
      <c r="U63">
        <v>2.1</v>
      </c>
      <c r="V63" t="s">
        <v>18</v>
      </c>
      <c r="W63">
        <f t="shared" si="4"/>
        <v>1</v>
      </c>
    </row>
    <row r="64" spans="1:23">
      <c r="A64" t="s">
        <v>151</v>
      </c>
      <c r="B64">
        <v>46152.974918981483</v>
      </c>
      <c r="C64">
        <v>46152.979141377313</v>
      </c>
      <c r="D64">
        <v>46153.032211365738</v>
      </c>
      <c r="E64" t="s">
        <v>75</v>
      </c>
      <c r="F64" t="s">
        <v>3</v>
      </c>
      <c r="G64" t="s">
        <v>65</v>
      </c>
      <c r="H64" t="s">
        <v>88</v>
      </c>
      <c r="I64" t="s">
        <v>73</v>
      </c>
      <c r="J64" t="s">
        <v>19</v>
      </c>
      <c r="K64" t="s">
        <v>68</v>
      </c>
      <c r="L64">
        <v>4</v>
      </c>
      <c r="M64">
        <f t="shared" si="0"/>
        <v>0.1013374999165535</v>
      </c>
      <c r="N64">
        <f t="shared" si="1"/>
        <v>1.3750172221334651</v>
      </c>
      <c r="O64">
        <f>VLOOKUP(F64,SLA_Targets!$A$2:$C$5,2,FALSE)</f>
        <v>0.5</v>
      </c>
      <c r="P64">
        <f>VLOOKUP(F64,SLA_Targets!$A$2:$C$5,3,FALSE)</f>
        <v>4</v>
      </c>
      <c r="Q64" t="str">
        <f t="shared" si="2"/>
        <v>Met</v>
      </c>
      <c r="R64" t="str">
        <f t="shared" si="3"/>
        <v>Met</v>
      </c>
      <c r="S64" t="s">
        <v>20</v>
      </c>
      <c r="T64" t="s">
        <v>21</v>
      </c>
      <c r="U64">
        <v>5.6</v>
      </c>
      <c r="V64" t="s">
        <v>22</v>
      </c>
      <c r="W64">
        <f t="shared" si="4"/>
        <v>1</v>
      </c>
    </row>
    <row r="65" spans="1:23">
      <c r="A65" t="s">
        <v>152</v>
      </c>
      <c r="B65">
        <v>46170.358414351853</v>
      </c>
      <c r="C65">
        <v>46170.37820334491</v>
      </c>
      <c r="D65">
        <v>46170.509089687497</v>
      </c>
      <c r="E65" t="s">
        <v>75</v>
      </c>
      <c r="F65" t="s">
        <v>3</v>
      </c>
      <c r="G65" t="s">
        <v>105</v>
      </c>
      <c r="H65" t="s">
        <v>80</v>
      </c>
      <c r="I65" t="s">
        <v>89</v>
      </c>
      <c r="J65" t="s">
        <v>34</v>
      </c>
      <c r="K65" t="s">
        <v>68</v>
      </c>
      <c r="L65">
        <v>5</v>
      </c>
      <c r="M65">
        <f t="shared" si="0"/>
        <v>0.47493583336472511</v>
      </c>
      <c r="N65">
        <f t="shared" si="1"/>
        <v>3.6162080554640852</v>
      </c>
      <c r="O65">
        <f>VLOOKUP(F65,SLA_Targets!$A$2:$C$5,2,FALSE)</f>
        <v>0.5</v>
      </c>
      <c r="P65">
        <f>VLOOKUP(F65,SLA_Targets!$A$2:$C$5,3,FALSE)</f>
        <v>4</v>
      </c>
      <c r="Q65" t="str">
        <f t="shared" si="2"/>
        <v>Met</v>
      </c>
      <c r="R65" t="str">
        <f t="shared" si="3"/>
        <v>Met</v>
      </c>
      <c r="S65" t="s">
        <v>35</v>
      </c>
      <c r="T65" t="s">
        <v>33</v>
      </c>
      <c r="U65">
        <v>3</v>
      </c>
      <c r="V65" t="s">
        <v>36</v>
      </c>
      <c r="W65">
        <f t="shared" si="4"/>
        <v>1</v>
      </c>
    </row>
    <row r="66" spans="1:23">
      <c r="A66" t="s">
        <v>153</v>
      </c>
      <c r="B66">
        <v>46200.879351851851</v>
      </c>
      <c r="C66">
        <v>46200.906952372687</v>
      </c>
      <c r="D66">
        <v>46201.055227002318</v>
      </c>
      <c r="E66" t="s">
        <v>70</v>
      </c>
      <c r="F66" t="s">
        <v>4</v>
      </c>
      <c r="G66" t="s">
        <v>83</v>
      </c>
      <c r="H66" t="s">
        <v>88</v>
      </c>
      <c r="I66" t="s">
        <v>92</v>
      </c>
      <c r="J66" t="s">
        <v>34</v>
      </c>
      <c r="K66" t="s">
        <v>68</v>
      </c>
      <c r="L66">
        <v>5</v>
      </c>
      <c r="M66">
        <f t="shared" ref="M66:M129" si="5">IF(OR(B66="",C66=""),"",24*(C66-B66))</f>
        <v>0.66241250006714836</v>
      </c>
      <c r="N66">
        <f t="shared" ref="N66:N129" si="6">IF(OR(B66="",D66=""),"",24*(D66-B66))</f>
        <v>4.2210036112228408</v>
      </c>
      <c r="O66">
        <f>VLOOKUP(F66,SLA_Targets!$A$2:$C$5,2,FALSE)</f>
        <v>1</v>
      </c>
      <c r="P66">
        <f>VLOOKUP(F66,SLA_Targets!$A$2:$C$5,3,FALSE)</f>
        <v>8</v>
      </c>
      <c r="Q66" t="str">
        <f t="shared" ref="Q66:Q129" si="7">IF(M66="","Pending",IF(M66&lt;=O66,"Met","Breached"))</f>
        <v>Met</v>
      </c>
      <c r="R66" t="str">
        <f t="shared" ref="R66:R129" si="8">IF(N66="","Pending",IF(N66&lt;=P66,"Met","Breached"))</f>
        <v>Met</v>
      </c>
      <c r="S66" t="s">
        <v>35</v>
      </c>
      <c r="T66" t="s">
        <v>33</v>
      </c>
      <c r="U66">
        <v>3</v>
      </c>
      <c r="V66" t="s">
        <v>36</v>
      </c>
      <c r="W66">
        <f t="shared" ref="W66:W129" si="9">COUNTIF($A$2:$A$321,A66)</f>
        <v>1</v>
      </c>
    </row>
    <row r="67" spans="1:23">
      <c r="A67" t="s">
        <v>154</v>
      </c>
      <c r="B67">
        <v>46193.900648148148</v>
      </c>
      <c r="C67">
        <v>46193.953805509256</v>
      </c>
      <c r="D67">
        <v>46194.218893807869</v>
      </c>
      <c r="E67" t="s">
        <v>75</v>
      </c>
      <c r="F67" t="s">
        <v>4</v>
      </c>
      <c r="G67" t="s">
        <v>105</v>
      </c>
      <c r="H67" t="s">
        <v>66</v>
      </c>
      <c r="I67" t="s">
        <v>67</v>
      </c>
      <c r="J67" t="s">
        <v>31</v>
      </c>
      <c r="K67" t="s">
        <v>68</v>
      </c>
      <c r="L67">
        <v>4</v>
      </c>
      <c r="M67">
        <f t="shared" si="5"/>
        <v>1.2757766665890813</v>
      </c>
      <c r="N67">
        <f t="shared" si="6"/>
        <v>7.6378958332934417</v>
      </c>
      <c r="O67">
        <f>VLOOKUP(F67,SLA_Targets!$A$2:$C$5,2,FALSE)</f>
        <v>1</v>
      </c>
      <c r="P67">
        <f>VLOOKUP(F67,SLA_Targets!$A$2:$C$5,3,FALSE)</f>
        <v>8</v>
      </c>
      <c r="Q67" t="str">
        <f t="shared" si="7"/>
        <v>Breached</v>
      </c>
      <c r="R67" t="str">
        <f t="shared" si="8"/>
        <v>Met</v>
      </c>
      <c r="S67" t="s">
        <v>32</v>
      </c>
      <c r="T67" t="s">
        <v>33</v>
      </c>
      <c r="U67">
        <v>7.1</v>
      </c>
      <c r="V67" t="s">
        <v>18</v>
      </c>
      <c r="W67">
        <f t="shared" si="9"/>
        <v>1</v>
      </c>
    </row>
    <row r="68" spans="1:23">
      <c r="A68" t="s">
        <v>155</v>
      </c>
      <c r="B68">
        <v>46114.865520833337</v>
      </c>
      <c r="C68">
        <v>46114.869050590278</v>
      </c>
      <c r="D68">
        <v>46114.914669641206</v>
      </c>
      <c r="E68" t="s">
        <v>75</v>
      </c>
      <c r="F68" t="s">
        <v>3</v>
      </c>
      <c r="G68" t="s">
        <v>65</v>
      </c>
      <c r="H68" t="s">
        <v>72</v>
      </c>
      <c r="I68" t="s">
        <v>73</v>
      </c>
      <c r="J68" t="s">
        <v>42</v>
      </c>
      <c r="K68" t="s">
        <v>68</v>
      </c>
      <c r="L68">
        <v>4</v>
      </c>
      <c r="M68">
        <f t="shared" si="5"/>
        <v>8.4714166587218642E-2</v>
      </c>
      <c r="N68">
        <f t="shared" si="6"/>
        <v>1.179571388871409</v>
      </c>
      <c r="O68">
        <f>VLOOKUP(F68,SLA_Targets!$A$2:$C$5,2,FALSE)</f>
        <v>0.5</v>
      </c>
      <c r="P68">
        <f>VLOOKUP(F68,SLA_Targets!$A$2:$C$5,3,FALSE)</f>
        <v>4</v>
      </c>
      <c r="Q68" t="str">
        <f t="shared" si="7"/>
        <v>Met</v>
      </c>
      <c r="R68" t="str">
        <f t="shared" si="8"/>
        <v>Met</v>
      </c>
      <c r="S68" t="s">
        <v>43</v>
      </c>
      <c r="T68" t="s">
        <v>21</v>
      </c>
      <c r="U68">
        <v>2.7</v>
      </c>
      <c r="V68" t="s">
        <v>36</v>
      </c>
      <c r="W68">
        <f t="shared" si="9"/>
        <v>1</v>
      </c>
    </row>
    <row r="69" spans="1:23">
      <c r="A69" t="s">
        <v>156</v>
      </c>
      <c r="B69">
        <v>46183.941620370373</v>
      </c>
      <c r="C69">
        <v>46184.130933032407</v>
      </c>
      <c r="D69">
        <v>46184.365257627316</v>
      </c>
      <c r="E69" t="s">
        <v>75</v>
      </c>
      <c r="F69" t="s">
        <v>5</v>
      </c>
      <c r="G69" t="s">
        <v>105</v>
      </c>
      <c r="H69" t="s">
        <v>88</v>
      </c>
      <c r="I69" t="s">
        <v>89</v>
      </c>
      <c r="J69" t="s">
        <v>44</v>
      </c>
      <c r="K69" t="s">
        <v>85</v>
      </c>
      <c r="L69">
        <v>2</v>
      </c>
      <c r="M69">
        <f t="shared" si="5"/>
        <v>4.543503888824489</v>
      </c>
      <c r="N69">
        <f t="shared" si="6"/>
        <v>10.167294166632928</v>
      </c>
      <c r="O69">
        <f>VLOOKUP(F69,SLA_Targets!$A$2:$C$5,2,FALSE)</f>
        <v>4</v>
      </c>
      <c r="P69">
        <f>VLOOKUP(F69,SLA_Targets!$A$2:$C$5,3,FALSE)</f>
        <v>24</v>
      </c>
      <c r="Q69" t="str">
        <f t="shared" si="7"/>
        <v>Breached</v>
      </c>
      <c r="R69" t="str">
        <f t="shared" si="8"/>
        <v>Met</v>
      </c>
      <c r="S69" t="s">
        <v>45</v>
      </c>
      <c r="T69" t="s">
        <v>33</v>
      </c>
      <c r="U69">
        <v>5.0999999999999996</v>
      </c>
      <c r="V69" t="s">
        <v>30</v>
      </c>
      <c r="W69">
        <f t="shared" si="9"/>
        <v>1</v>
      </c>
    </row>
    <row r="70" spans="1:23">
      <c r="A70" t="s">
        <v>157</v>
      </c>
      <c r="B70">
        <v>46182.476504629631</v>
      </c>
      <c r="C70">
        <v>46182.71676758102</v>
      </c>
      <c r="D70">
        <v>46183.114549872684</v>
      </c>
      <c r="E70" t="s">
        <v>75</v>
      </c>
      <c r="F70" t="s">
        <v>6</v>
      </c>
      <c r="G70" t="s">
        <v>79</v>
      </c>
      <c r="H70" t="s">
        <v>88</v>
      </c>
      <c r="I70" t="s">
        <v>89</v>
      </c>
      <c r="J70" t="s">
        <v>37</v>
      </c>
      <c r="K70" t="s">
        <v>68</v>
      </c>
      <c r="L70">
        <v>4</v>
      </c>
      <c r="M70">
        <f t="shared" si="5"/>
        <v>5.7663108333363198</v>
      </c>
      <c r="N70">
        <f t="shared" si="6"/>
        <v>15.313085833273362</v>
      </c>
      <c r="O70">
        <f>VLOOKUP(F70,SLA_Targets!$A$2:$C$5,2,FALSE)</f>
        <v>8</v>
      </c>
      <c r="P70">
        <f>VLOOKUP(F70,SLA_Targets!$A$2:$C$5,3,FALSE)</f>
        <v>48</v>
      </c>
      <c r="Q70" t="str">
        <f t="shared" si="7"/>
        <v>Met</v>
      </c>
      <c r="R70" t="str">
        <f t="shared" si="8"/>
        <v>Met</v>
      </c>
      <c r="S70" t="s">
        <v>38</v>
      </c>
      <c r="T70" t="s">
        <v>14</v>
      </c>
      <c r="U70">
        <v>1.2</v>
      </c>
      <c r="V70" t="s">
        <v>39</v>
      </c>
      <c r="W70">
        <f t="shared" si="9"/>
        <v>1</v>
      </c>
    </row>
    <row r="71" spans="1:23">
      <c r="A71" t="s">
        <v>158</v>
      </c>
      <c r="B71">
        <v>46155.08898148148</v>
      </c>
      <c r="C71">
        <v>46155.105415196762</v>
      </c>
      <c r="D71">
        <v>46155.385288668978</v>
      </c>
      <c r="E71" t="s">
        <v>70</v>
      </c>
      <c r="F71" t="s">
        <v>4</v>
      </c>
      <c r="G71" t="s">
        <v>94</v>
      </c>
      <c r="H71" t="s">
        <v>77</v>
      </c>
      <c r="I71" t="s">
        <v>73</v>
      </c>
      <c r="J71" t="s">
        <v>16</v>
      </c>
      <c r="K71" t="s">
        <v>68</v>
      </c>
      <c r="L71">
        <v>5</v>
      </c>
      <c r="M71">
        <f t="shared" si="5"/>
        <v>0.39440916676539928</v>
      </c>
      <c r="N71">
        <f t="shared" si="6"/>
        <v>7.1113724999595433</v>
      </c>
      <c r="O71">
        <f>VLOOKUP(F71,SLA_Targets!$A$2:$C$5,2,FALSE)</f>
        <v>1</v>
      </c>
      <c r="P71">
        <f>VLOOKUP(F71,SLA_Targets!$A$2:$C$5,3,FALSE)</f>
        <v>8</v>
      </c>
      <c r="Q71" t="str">
        <f t="shared" si="7"/>
        <v>Met</v>
      </c>
      <c r="R71" t="str">
        <f t="shared" si="8"/>
        <v>Met</v>
      </c>
      <c r="S71" t="s">
        <v>17</v>
      </c>
      <c r="T71" t="s">
        <v>14</v>
      </c>
      <c r="U71">
        <v>2.1</v>
      </c>
      <c r="V71" t="s">
        <v>18</v>
      </c>
      <c r="W71">
        <f t="shared" si="9"/>
        <v>1</v>
      </c>
    </row>
    <row r="72" spans="1:23">
      <c r="A72" t="s">
        <v>159</v>
      </c>
      <c r="B72">
        <v>46122.708807870367</v>
      </c>
      <c r="C72">
        <v>46122.72531627315</v>
      </c>
      <c r="D72">
        <v>46123.185875173614</v>
      </c>
      <c r="E72" t="s">
        <v>75</v>
      </c>
      <c r="F72" t="s">
        <v>4</v>
      </c>
      <c r="G72" t="s">
        <v>105</v>
      </c>
      <c r="H72" t="s">
        <v>109</v>
      </c>
      <c r="I72" t="s">
        <v>89</v>
      </c>
      <c r="J72" t="s">
        <v>31</v>
      </c>
      <c r="K72" t="s">
        <v>68</v>
      </c>
      <c r="L72">
        <v>3</v>
      </c>
      <c r="M72">
        <f t="shared" si="5"/>
        <v>0.39620166679378599</v>
      </c>
      <c r="N72">
        <f t="shared" si="6"/>
        <v>11.449615277932025</v>
      </c>
      <c r="O72">
        <f>VLOOKUP(F72,SLA_Targets!$A$2:$C$5,2,FALSE)</f>
        <v>1</v>
      </c>
      <c r="P72">
        <f>VLOOKUP(F72,SLA_Targets!$A$2:$C$5,3,FALSE)</f>
        <v>8</v>
      </c>
      <c r="Q72" t="str">
        <f t="shared" si="7"/>
        <v>Met</v>
      </c>
      <c r="R72" t="str">
        <f t="shared" si="8"/>
        <v>Breached</v>
      </c>
      <c r="S72" t="s">
        <v>32</v>
      </c>
      <c r="T72" t="s">
        <v>33</v>
      </c>
      <c r="U72">
        <v>7.1</v>
      </c>
      <c r="V72" t="s">
        <v>18</v>
      </c>
      <c r="W72">
        <f t="shared" si="9"/>
        <v>1</v>
      </c>
    </row>
    <row r="73" spans="1:23">
      <c r="A73" t="s">
        <v>160</v>
      </c>
      <c r="B73">
        <v>46143.669108796297</v>
      </c>
      <c r="C73">
        <v>46143.808855625</v>
      </c>
      <c r="D73">
        <v>46144.266379606481</v>
      </c>
      <c r="E73" t="s">
        <v>75</v>
      </c>
      <c r="F73" t="s">
        <v>5</v>
      </c>
      <c r="G73" t="s">
        <v>94</v>
      </c>
      <c r="H73" t="s">
        <v>84</v>
      </c>
      <c r="I73" t="s">
        <v>89</v>
      </c>
      <c r="J73" t="s">
        <v>12</v>
      </c>
      <c r="K73" t="s">
        <v>68</v>
      </c>
      <c r="L73">
        <v>4</v>
      </c>
      <c r="M73">
        <f t="shared" si="5"/>
        <v>3.3539238888770342</v>
      </c>
      <c r="N73">
        <f t="shared" si="6"/>
        <v>14.334499444405083</v>
      </c>
      <c r="O73">
        <f>VLOOKUP(F73,SLA_Targets!$A$2:$C$5,2,FALSE)</f>
        <v>4</v>
      </c>
      <c r="P73">
        <f>VLOOKUP(F73,SLA_Targets!$A$2:$C$5,3,FALSE)</f>
        <v>24</v>
      </c>
      <c r="Q73" t="str">
        <f t="shared" si="7"/>
        <v>Met</v>
      </c>
      <c r="R73" t="str">
        <f t="shared" si="8"/>
        <v>Met</v>
      </c>
      <c r="S73" t="s">
        <v>13</v>
      </c>
      <c r="T73" t="s">
        <v>14</v>
      </c>
      <c r="U73">
        <v>4.2</v>
      </c>
      <c r="V73" t="s">
        <v>15</v>
      </c>
      <c r="W73">
        <f t="shared" si="9"/>
        <v>1</v>
      </c>
    </row>
    <row r="74" spans="1:23">
      <c r="A74" t="s">
        <v>161</v>
      </c>
      <c r="B74">
        <v>46173.69672453704</v>
      </c>
      <c r="C74">
        <v>46173.828502581018</v>
      </c>
      <c r="D74">
        <v>46175.143150069445</v>
      </c>
      <c r="E74" t="s">
        <v>75</v>
      </c>
      <c r="F74" t="s">
        <v>5</v>
      </c>
      <c r="G74" t="s">
        <v>76</v>
      </c>
      <c r="H74" t="s">
        <v>88</v>
      </c>
      <c r="I74" t="s">
        <v>73</v>
      </c>
      <c r="J74" t="s">
        <v>25</v>
      </c>
      <c r="K74" t="s">
        <v>68</v>
      </c>
      <c r="L74">
        <v>3</v>
      </c>
      <c r="M74">
        <f t="shared" si="5"/>
        <v>3.1626730554853566</v>
      </c>
      <c r="N74">
        <f t="shared" si="6"/>
        <v>34.714212777733337</v>
      </c>
      <c r="O74">
        <f>VLOOKUP(F74,SLA_Targets!$A$2:$C$5,2,FALSE)</f>
        <v>4</v>
      </c>
      <c r="P74">
        <f>VLOOKUP(F74,SLA_Targets!$A$2:$C$5,3,FALSE)</f>
        <v>24</v>
      </c>
      <c r="Q74" t="str">
        <f t="shared" si="7"/>
        <v>Met</v>
      </c>
      <c r="R74" t="str">
        <f t="shared" si="8"/>
        <v>Breached</v>
      </c>
      <c r="S74" t="s">
        <v>26</v>
      </c>
      <c r="T74" t="s">
        <v>27</v>
      </c>
      <c r="U74">
        <v>6.3</v>
      </c>
      <c r="V74" t="s">
        <v>15</v>
      </c>
      <c r="W74">
        <f t="shared" si="9"/>
        <v>1</v>
      </c>
    </row>
    <row r="75" spans="1:23">
      <c r="A75" t="s">
        <v>162</v>
      </c>
      <c r="B75">
        <v>46116.309837962966</v>
      </c>
      <c r="C75">
        <v>46116.322746527774</v>
      </c>
      <c r="D75">
        <v>46116.582365798611</v>
      </c>
      <c r="E75" t="s">
        <v>75</v>
      </c>
      <c r="F75" t="s">
        <v>4</v>
      </c>
      <c r="G75" t="s">
        <v>65</v>
      </c>
      <c r="H75" t="s">
        <v>72</v>
      </c>
      <c r="I75" t="s">
        <v>73</v>
      </c>
      <c r="J75" t="s">
        <v>23</v>
      </c>
      <c r="K75" t="s">
        <v>68</v>
      </c>
      <c r="L75">
        <v>4</v>
      </c>
      <c r="M75">
        <f t="shared" si="5"/>
        <v>0.30980555538553745</v>
      </c>
      <c r="N75">
        <f t="shared" si="6"/>
        <v>6.5406680554733612</v>
      </c>
      <c r="O75">
        <f>VLOOKUP(F75,SLA_Targets!$A$2:$C$5,2,FALSE)</f>
        <v>1</v>
      </c>
      <c r="P75">
        <f>VLOOKUP(F75,SLA_Targets!$A$2:$C$5,3,FALSE)</f>
        <v>8</v>
      </c>
      <c r="Q75" t="str">
        <f t="shared" si="7"/>
        <v>Met</v>
      </c>
      <c r="R75" t="str">
        <f t="shared" si="8"/>
        <v>Met</v>
      </c>
      <c r="S75" t="s">
        <v>24</v>
      </c>
      <c r="T75" t="s">
        <v>21</v>
      </c>
      <c r="U75">
        <v>3.4</v>
      </c>
      <c r="V75" t="s">
        <v>22</v>
      </c>
      <c r="W75">
        <f t="shared" si="9"/>
        <v>1</v>
      </c>
    </row>
    <row r="76" spans="1:23">
      <c r="A76" t="s">
        <v>163</v>
      </c>
      <c r="B76">
        <v>46139.751898148148</v>
      </c>
      <c r="C76">
        <v>46139.9160959375</v>
      </c>
      <c r="D76">
        <v>46140.490304398147</v>
      </c>
      <c r="E76" t="s">
        <v>75</v>
      </c>
      <c r="F76" t="s">
        <v>5</v>
      </c>
      <c r="G76" t="s">
        <v>94</v>
      </c>
      <c r="H76" t="s">
        <v>77</v>
      </c>
      <c r="I76" t="s">
        <v>73</v>
      </c>
      <c r="J76" t="s">
        <v>37</v>
      </c>
      <c r="K76" t="s">
        <v>68</v>
      </c>
      <c r="L76">
        <v>4</v>
      </c>
      <c r="M76">
        <f t="shared" si="5"/>
        <v>3.9407469444558956</v>
      </c>
      <c r="N76">
        <f t="shared" si="6"/>
        <v>17.721749999967869</v>
      </c>
      <c r="O76">
        <f>VLOOKUP(F76,SLA_Targets!$A$2:$C$5,2,FALSE)</f>
        <v>4</v>
      </c>
      <c r="P76">
        <f>VLOOKUP(F76,SLA_Targets!$A$2:$C$5,3,FALSE)</f>
        <v>24</v>
      </c>
      <c r="Q76" t="str">
        <f t="shared" si="7"/>
        <v>Met</v>
      </c>
      <c r="R76" t="str">
        <f t="shared" si="8"/>
        <v>Met</v>
      </c>
      <c r="S76" t="s">
        <v>38</v>
      </c>
      <c r="T76" t="s">
        <v>14</v>
      </c>
      <c r="U76">
        <v>1.2</v>
      </c>
      <c r="V76" t="s">
        <v>39</v>
      </c>
      <c r="W76">
        <f t="shared" si="9"/>
        <v>1</v>
      </c>
    </row>
    <row r="77" spans="1:23">
      <c r="A77" t="s">
        <v>164</v>
      </c>
      <c r="B77">
        <v>46117.74291666667</v>
      </c>
      <c r="C77">
        <v>46117.940285300923</v>
      </c>
      <c r="E77" t="s">
        <v>132</v>
      </c>
      <c r="F77" t="s">
        <v>6</v>
      </c>
      <c r="G77" t="s">
        <v>79</v>
      </c>
      <c r="H77" t="s">
        <v>109</v>
      </c>
      <c r="I77" t="s">
        <v>73</v>
      </c>
      <c r="J77" t="s">
        <v>12</v>
      </c>
      <c r="K77" t="s">
        <v>68</v>
      </c>
      <c r="M77">
        <f t="shared" si="5"/>
        <v>4.7368472220841795</v>
      </c>
      <c r="N77" t="str">
        <f t="shared" si="6"/>
        <v/>
      </c>
      <c r="O77">
        <f>VLOOKUP(F77,SLA_Targets!$A$2:$C$5,2,FALSE)</f>
        <v>8</v>
      </c>
      <c r="P77">
        <f>VLOOKUP(F77,SLA_Targets!$A$2:$C$5,3,FALSE)</f>
        <v>48</v>
      </c>
      <c r="Q77" t="str">
        <f t="shared" si="7"/>
        <v>Met</v>
      </c>
      <c r="R77" t="str">
        <f t="shared" si="8"/>
        <v>Pending</v>
      </c>
      <c r="S77" t="s">
        <v>13</v>
      </c>
      <c r="T77" t="s">
        <v>14</v>
      </c>
      <c r="U77">
        <v>4.2</v>
      </c>
      <c r="V77" t="s">
        <v>15</v>
      </c>
      <c r="W77">
        <f t="shared" si="9"/>
        <v>1</v>
      </c>
    </row>
    <row r="78" spans="1:23">
      <c r="A78" t="s">
        <v>165</v>
      </c>
      <c r="B78">
        <v>46130.391597222224</v>
      </c>
      <c r="C78">
        <v>46130.41859533565</v>
      </c>
      <c r="D78">
        <v>46130.534546053241</v>
      </c>
      <c r="E78" t="s">
        <v>75</v>
      </c>
      <c r="F78" t="s">
        <v>4</v>
      </c>
      <c r="G78" t="s">
        <v>65</v>
      </c>
      <c r="H78" t="s">
        <v>106</v>
      </c>
      <c r="I78" t="s">
        <v>73</v>
      </c>
      <c r="J78" t="s">
        <v>19</v>
      </c>
      <c r="K78" t="s">
        <v>68</v>
      </c>
      <c r="L78">
        <v>4</v>
      </c>
      <c r="M78">
        <f t="shared" si="5"/>
        <v>0.64795472222613171</v>
      </c>
      <c r="N78">
        <f t="shared" si="6"/>
        <v>3.430771944404114</v>
      </c>
      <c r="O78">
        <f>VLOOKUP(F78,SLA_Targets!$A$2:$C$5,2,FALSE)</f>
        <v>1</v>
      </c>
      <c r="P78">
        <f>VLOOKUP(F78,SLA_Targets!$A$2:$C$5,3,FALSE)</f>
        <v>8</v>
      </c>
      <c r="Q78" t="str">
        <f t="shared" si="7"/>
        <v>Met</v>
      </c>
      <c r="R78" t="str">
        <f t="shared" si="8"/>
        <v>Met</v>
      </c>
      <c r="S78" t="s">
        <v>20</v>
      </c>
      <c r="T78" t="s">
        <v>21</v>
      </c>
      <c r="U78">
        <v>5.6</v>
      </c>
      <c r="V78" t="s">
        <v>22</v>
      </c>
      <c r="W78">
        <f t="shared" si="9"/>
        <v>1</v>
      </c>
    </row>
    <row r="79" spans="1:23">
      <c r="A79" t="s">
        <v>166</v>
      </c>
      <c r="B79">
        <v>46152.658067129632</v>
      </c>
      <c r="C79">
        <v>46152.662116284722</v>
      </c>
      <c r="D79">
        <v>46152.72835701389</v>
      </c>
      <c r="E79" t="s">
        <v>75</v>
      </c>
      <c r="F79" t="s">
        <v>3</v>
      </c>
      <c r="G79" t="s">
        <v>65</v>
      </c>
      <c r="H79" t="s">
        <v>77</v>
      </c>
      <c r="I79" t="s">
        <v>92</v>
      </c>
      <c r="J79" t="s">
        <v>42</v>
      </c>
      <c r="K79" t="s">
        <v>68</v>
      </c>
      <c r="L79">
        <v>4</v>
      </c>
      <c r="M79">
        <f t="shared" si="5"/>
        <v>9.7179722157306969E-2</v>
      </c>
      <c r="N79">
        <f t="shared" si="6"/>
        <v>1.6869572221767157</v>
      </c>
      <c r="O79">
        <f>VLOOKUP(F79,SLA_Targets!$A$2:$C$5,2,FALSE)</f>
        <v>0.5</v>
      </c>
      <c r="P79">
        <f>VLOOKUP(F79,SLA_Targets!$A$2:$C$5,3,FALSE)</f>
        <v>4</v>
      </c>
      <c r="Q79" t="str">
        <f t="shared" si="7"/>
        <v>Met</v>
      </c>
      <c r="R79" t="str">
        <f t="shared" si="8"/>
        <v>Met</v>
      </c>
      <c r="S79" t="s">
        <v>43</v>
      </c>
      <c r="T79" t="s">
        <v>21</v>
      </c>
      <c r="U79">
        <v>2.7</v>
      </c>
      <c r="V79" t="s">
        <v>36</v>
      </c>
      <c r="W79">
        <f t="shared" si="9"/>
        <v>1</v>
      </c>
    </row>
    <row r="80" spans="1:23">
      <c r="A80" t="s">
        <v>167</v>
      </c>
      <c r="B80">
        <v>46129.657395833332</v>
      </c>
      <c r="C80">
        <v>46129.672262349537</v>
      </c>
      <c r="D80">
        <v>46129.843979502315</v>
      </c>
      <c r="E80" t="s">
        <v>75</v>
      </c>
      <c r="F80" t="s">
        <v>4</v>
      </c>
      <c r="G80" t="s">
        <v>65</v>
      </c>
      <c r="H80" t="s">
        <v>66</v>
      </c>
      <c r="I80" t="s">
        <v>73</v>
      </c>
      <c r="J80" t="s">
        <v>42</v>
      </c>
      <c r="K80" t="s">
        <v>68</v>
      </c>
      <c r="L80">
        <v>5</v>
      </c>
      <c r="M80">
        <f t="shared" si="5"/>
        <v>0.35679638892179355</v>
      </c>
      <c r="N80">
        <f t="shared" si="6"/>
        <v>4.4780080555938184</v>
      </c>
      <c r="O80">
        <f>VLOOKUP(F80,SLA_Targets!$A$2:$C$5,2,FALSE)</f>
        <v>1</v>
      </c>
      <c r="P80">
        <f>VLOOKUP(F80,SLA_Targets!$A$2:$C$5,3,FALSE)</f>
        <v>8</v>
      </c>
      <c r="Q80" t="str">
        <f t="shared" si="7"/>
        <v>Met</v>
      </c>
      <c r="R80" t="str">
        <f t="shared" si="8"/>
        <v>Met</v>
      </c>
      <c r="S80" t="s">
        <v>43</v>
      </c>
      <c r="T80" t="s">
        <v>21</v>
      </c>
      <c r="U80">
        <v>2.7</v>
      </c>
      <c r="V80" t="s">
        <v>36</v>
      </c>
      <c r="W80">
        <f t="shared" si="9"/>
        <v>1</v>
      </c>
    </row>
    <row r="81" spans="1:23">
      <c r="A81" t="s">
        <v>168</v>
      </c>
      <c r="B81">
        <v>46173.96837962963</v>
      </c>
      <c r="C81">
        <v>46174.240365752317</v>
      </c>
      <c r="D81">
        <v>46175.309541249997</v>
      </c>
      <c r="E81" t="s">
        <v>75</v>
      </c>
      <c r="F81" t="s">
        <v>6</v>
      </c>
      <c r="G81" t="s">
        <v>79</v>
      </c>
      <c r="H81" t="s">
        <v>84</v>
      </c>
      <c r="I81" t="s">
        <v>73</v>
      </c>
      <c r="J81" t="s">
        <v>16</v>
      </c>
      <c r="K81" t="s">
        <v>68</v>
      </c>
      <c r="L81">
        <v>4</v>
      </c>
      <c r="M81">
        <f t="shared" si="5"/>
        <v>6.5276669444865547</v>
      </c>
      <c r="N81">
        <f t="shared" si="6"/>
        <v>32.187878888798878</v>
      </c>
      <c r="O81">
        <f>VLOOKUP(F81,SLA_Targets!$A$2:$C$5,2,FALSE)</f>
        <v>8</v>
      </c>
      <c r="P81">
        <f>VLOOKUP(F81,SLA_Targets!$A$2:$C$5,3,FALSE)</f>
        <v>48</v>
      </c>
      <c r="Q81" t="str">
        <f t="shared" si="7"/>
        <v>Met</v>
      </c>
      <c r="R81" t="str">
        <f t="shared" si="8"/>
        <v>Met</v>
      </c>
      <c r="S81" t="s">
        <v>17</v>
      </c>
      <c r="T81" t="s">
        <v>14</v>
      </c>
      <c r="U81">
        <v>2.1</v>
      </c>
      <c r="V81" t="s">
        <v>18</v>
      </c>
      <c r="W81">
        <f t="shared" si="9"/>
        <v>1</v>
      </c>
    </row>
    <row r="82" spans="1:23">
      <c r="A82" t="s">
        <v>169</v>
      </c>
      <c r="B82">
        <v>46118.856805555559</v>
      </c>
      <c r="C82">
        <v>46118.903652071756</v>
      </c>
      <c r="D82">
        <v>46119.442186736109</v>
      </c>
      <c r="E82" t="s">
        <v>75</v>
      </c>
      <c r="F82" t="s">
        <v>4</v>
      </c>
      <c r="G82" t="s">
        <v>94</v>
      </c>
      <c r="H82" t="s">
        <v>80</v>
      </c>
      <c r="I82" t="s">
        <v>73</v>
      </c>
      <c r="J82" t="s">
        <v>37</v>
      </c>
      <c r="K82" t="s">
        <v>68</v>
      </c>
      <c r="L82">
        <v>3</v>
      </c>
      <c r="M82">
        <f t="shared" si="5"/>
        <v>1.1243163887411356</v>
      </c>
      <c r="N82">
        <f t="shared" si="6"/>
        <v>14.049148333200719</v>
      </c>
      <c r="O82">
        <f>VLOOKUP(F82,SLA_Targets!$A$2:$C$5,2,FALSE)</f>
        <v>1</v>
      </c>
      <c r="P82">
        <f>VLOOKUP(F82,SLA_Targets!$A$2:$C$5,3,FALSE)</f>
        <v>8</v>
      </c>
      <c r="Q82" t="str">
        <f t="shared" si="7"/>
        <v>Breached</v>
      </c>
      <c r="R82" t="str">
        <f t="shared" si="8"/>
        <v>Breached</v>
      </c>
      <c r="S82" t="s">
        <v>38</v>
      </c>
      <c r="T82" t="s">
        <v>14</v>
      </c>
      <c r="U82">
        <v>1.2</v>
      </c>
      <c r="V82" t="s">
        <v>39</v>
      </c>
      <c r="W82">
        <f t="shared" si="9"/>
        <v>1</v>
      </c>
    </row>
    <row r="83" spans="1:23">
      <c r="A83" t="s">
        <v>170</v>
      </c>
      <c r="B83">
        <v>46119.340671296297</v>
      </c>
      <c r="C83">
        <v>46119.570451145832</v>
      </c>
      <c r="D83">
        <v>46119.604158043985</v>
      </c>
      <c r="E83" t="s">
        <v>70</v>
      </c>
      <c r="F83" t="s">
        <v>6</v>
      </c>
      <c r="G83" t="s">
        <v>94</v>
      </c>
      <c r="H83" t="s">
        <v>80</v>
      </c>
      <c r="I83" t="s">
        <v>73</v>
      </c>
      <c r="J83" t="s">
        <v>16</v>
      </c>
      <c r="K83" t="s">
        <v>68</v>
      </c>
      <c r="L83">
        <v>5</v>
      </c>
      <c r="M83">
        <f t="shared" si="5"/>
        <v>5.5147163888323121</v>
      </c>
      <c r="N83">
        <f t="shared" si="6"/>
        <v>6.3236819445155561</v>
      </c>
      <c r="O83">
        <f>VLOOKUP(F83,SLA_Targets!$A$2:$C$5,2,FALSE)</f>
        <v>8</v>
      </c>
      <c r="P83">
        <f>VLOOKUP(F83,SLA_Targets!$A$2:$C$5,3,FALSE)</f>
        <v>48</v>
      </c>
      <c r="Q83" t="str">
        <f t="shared" si="7"/>
        <v>Met</v>
      </c>
      <c r="R83" t="str">
        <f t="shared" si="8"/>
        <v>Met</v>
      </c>
      <c r="S83" t="s">
        <v>17</v>
      </c>
      <c r="T83" t="s">
        <v>14</v>
      </c>
      <c r="U83">
        <v>2.1</v>
      </c>
      <c r="V83" t="s">
        <v>18</v>
      </c>
      <c r="W83">
        <f t="shared" si="9"/>
        <v>1</v>
      </c>
    </row>
    <row r="84" spans="1:23">
      <c r="A84" t="s">
        <v>171</v>
      </c>
      <c r="B84">
        <v>46118.417511574073</v>
      </c>
      <c r="C84">
        <v>46118.522908703701</v>
      </c>
      <c r="D84">
        <v>46119.254029131946</v>
      </c>
      <c r="E84" t="s">
        <v>75</v>
      </c>
      <c r="F84" t="s">
        <v>5</v>
      </c>
      <c r="G84" t="s">
        <v>105</v>
      </c>
      <c r="H84" t="s">
        <v>106</v>
      </c>
      <c r="I84" t="s">
        <v>89</v>
      </c>
      <c r="J84" t="s">
        <v>31</v>
      </c>
      <c r="K84" t="s">
        <v>68</v>
      </c>
      <c r="L84">
        <v>4</v>
      </c>
      <c r="M84">
        <f t="shared" si="5"/>
        <v>2.5295311110676266</v>
      </c>
      <c r="N84">
        <f t="shared" si="6"/>
        <v>20.076421388948802</v>
      </c>
      <c r="O84">
        <f>VLOOKUP(F84,SLA_Targets!$A$2:$C$5,2,FALSE)</f>
        <v>4</v>
      </c>
      <c r="P84">
        <f>VLOOKUP(F84,SLA_Targets!$A$2:$C$5,3,FALSE)</f>
        <v>24</v>
      </c>
      <c r="Q84" t="str">
        <f t="shared" si="7"/>
        <v>Met</v>
      </c>
      <c r="R84" t="str">
        <f t="shared" si="8"/>
        <v>Met</v>
      </c>
      <c r="S84" t="s">
        <v>32</v>
      </c>
      <c r="T84" t="s">
        <v>33</v>
      </c>
      <c r="U84">
        <v>7.1</v>
      </c>
      <c r="V84" t="s">
        <v>18</v>
      </c>
      <c r="W84">
        <f t="shared" si="9"/>
        <v>1</v>
      </c>
    </row>
    <row r="85" spans="1:23">
      <c r="A85" t="s">
        <v>172</v>
      </c>
      <c r="B85">
        <v>46177.62027777778</v>
      </c>
      <c r="C85">
        <v>46177.696822384256</v>
      </c>
      <c r="D85">
        <v>46178.187385393518</v>
      </c>
      <c r="E85" t="s">
        <v>70</v>
      </c>
      <c r="F85" t="s">
        <v>5</v>
      </c>
      <c r="G85" t="s">
        <v>94</v>
      </c>
      <c r="H85" t="s">
        <v>88</v>
      </c>
      <c r="I85" t="s">
        <v>89</v>
      </c>
      <c r="J85" t="s">
        <v>12</v>
      </c>
      <c r="K85" t="s">
        <v>68</v>
      </c>
      <c r="L85">
        <v>5</v>
      </c>
      <c r="M85">
        <f t="shared" si="5"/>
        <v>1.8370705554261804</v>
      </c>
      <c r="N85">
        <f t="shared" si="6"/>
        <v>13.610582777706441</v>
      </c>
      <c r="O85">
        <f>VLOOKUP(F85,SLA_Targets!$A$2:$C$5,2,FALSE)</f>
        <v>4</v>
      </c>
      <c r="P85">
        <f>VLOOKUP(F85,SLA_Targets!$A$2:$C$5,3,FALSE)</f>
        <v>24</v>
      </c>
      <c r="Q85" t="str">
        <f t="shared" si="7"/>
        <v>Met</v>
      </c>
      <c r="R85" t="str">
        <f t="shared" si="8"/>
        <v>Met</v>
      </c>
      <c r="S85" t="s">
        <v>13</v>
      </c>
      <c r="T85" t="s">
        <v>14</v>
      </c>
      <c r="U85">
        <v>4.2</v>
      </c>
      <c r="V85" t="s">
        <v>15</v>
      </c>
      <c r="W85">
        <f t="shared" si="9"/>
        <v>1</v>
      </c>
    </row>
    <row r="86" spans="1:23">
      <c r="A86" t="s">
        <v>173</v>
      </c>
      <c r="B86">
        <v>46187.719722222224</v>
      </c>
      <c r="C86">
        <v>46187.772851493057</v>
      </c>
      <c r="D86">
        <v>46188.017340543978</v>
      </c>
      <c r="E86" t="s">
        <v>75</v>
      </c>
      <c r="F86" t="s">
        <v>4</v>
      </c>
      <c r="G86" t="s">
        <v>71</v>
      </c>
      <c r="H86" t="s">
        <v>84</v>
      </c>
      <c r="I86" t="s">
        <v>73</v>
      </c>
      <c r="J86" t="s">
        <v>25</v>
      </c>
      <c r="K86" t="s">
        <v>68</v>
      </c>
      <c r="L86">
        <v>3</v>
      </c>
      <c r="M86">
        <f t="shared" si="5"/>
        <v>1.2751024999888614</v>
      </c>
      <c r="N86">
        <f t="shared" si="6"/>
        <v>7.1428397221025079</v>
      </c>
      <c r="O86">
        <f>VLOOKUP(F86,SLA_Targets!$A$2:$C$5,2,FALSE)</f>
        <v>1</v>
      </c>
      <c r="P86">
        <f>VLOOKUP(F86,SLA_Targets!$A$2:$C$5,3,FALSE)</f>
        <v>8</v>
      </c>
      <c r="Q86" t="str">
        <f t="shared" si="7"/>
        <v>Breached</v>
      </c>
      <c r="R86" t="str">
        <f t="shared" si="8"/>
        <v>Met</v>
      </c>
      <c r="S86" t="s">
        <v>26</v>
      </c>
      <c r="T86" t="s">
        <v>27</v>
      </c>
      <c r="U86">
        <v>6.3</v>
      </c>
      <c r="V86" t="s">
        <v>15</v>
      </c>
      <c r="W86">
        <f t="shared" si="9"/>
        <v>1</v>
      </c>
    </row>
    <row r="87" spans="1:23">
      <c r="A87" t="s">
        <v>174</v>
      </c>
      <c r="B87">
        <v>46128.30978009259</v>
      </c>
      <c r="C87">
        <v>46128.361589837965</v>
      </c>
      <c r="D87">
        <v>46128.569965451388</v>
      </c>
      <c r="E87" t="s">
        <v>70</v>
      </c>
      <c r="F87" t="s">
        <v>5</v>
      </c>
      <c r="G87" t="s">
        <v>65</v>
      </c>
      <c r="H87" t="s">
        <v>84</v>
      </c>
      <c r="I87" t="s">
        <v>73</v>
      </c>
      <c r="J87" t="s">
        <v>42</v>
      </c>
      <c r="K87" t="s">
        <v>68</v>
      </c>
      <c r="L87">
        <v>4</v>
      </c>
      <c r="M87">
        <f t="shared" si="5"/>
        <v>1.2434338890016079</v>
      </c>
      <c r="N87">
        <f t="shared" si="6"/>
        <v>6.2444486111635342</v>
      </c>
      <c r="O87">
        <f>VLOOKUP(F87,SLA_Targets!$A$2:$C$5,2,FALSE)</f>
        <v>4</v>
      </c>
      <c r="P87">
        <f>VLOOKUP(F87,SLA_Targets!$A$2:$C$5,3,FALSE)</f>
        <v>24</v>
      </c>
      <c r="Q87" t="str">
        <f t="shared" si="7"/>
        <v>Met</v>
      </c>
      <c r="R87" t="str">
        <f t="shared" si="8"/>
        <v>Met</v>
      </c>
      <c r="S87" t="s">
        <v>43</v>
      </c>
      <c r="T87" t="s">
        <v>21</v>
      </c>
      <c r="U87">
        <v>2.7</v>
      </c>
      <c r="V87" t="s">
        <v>36</v>
      </c>
      <c r="W87">
        <f t="shared" si="9"/>
        <v>1</v>
      </c>
    </row>
    <row r="88" spans="1:23">
      <c r="A88" t="s">
        <v>175</v>
      </c>
      <c r="B88">
        <v>46165.180671296293</v>
      </c>
      <c r="C88">
        <v>46165.503676759261</v>
      </c>
      <c r="D88">
        <v>46170.464213310188</v>
      </c>
      <c r="E88" t="s">
        <v>75</v>
      </c>
      <c r="F88" t="s">
        <v>6</v>
      </c>
      <c r="G88" t="s">
        <v>79</v>
      </c>
      <c r="H88" t="s">
        <v>66</v>
      </c>
      <c r="I88" t="s">
        <v>89</v>
      </c>
      <c r="J88" t="s">
        <v>16</v>
      </c>
      <c r="K88" t="s">
        <v>68</v>
      </c>
      <c r="L88">
        <v>4</v>
      </c>
      <c r="M88">
        <f t="shared" si="5"/>
        <v>7.752131111221388</v>
      </c>
      <c r="N88">
        <f t="shared" si="6"/>
        <v>126.80500833346741</v>
      </c>
      <c r="O88">
        <f>VLOOKUP(F88,SLA_Targets!$A$2:$C$5,2,FALSE)</f>
        <v>8</v>
      </c>
      <c r="P88">
        <f>VLOOKUP(F88,SLA_Targets!$A$2:$C$5,3,FALSE)</f>
        <v>48</v>
      </c>
      <c r="Q88" t="str">
        <f t="shared" si="7"/>
        <v>Met</v>
      </c>
      <c r="R88" t="str">
        <f t="shared" si="8"/>
        <v>Breached</v>
      </c>
      <c r="S88" t="s">
        <v>17</v>
      </c>
      <c r="T88" t="s">
        <v>14</v>
      </c>
      <c r="U88">
        <v>2.1</v>
      </c>
      <c r="V88" t="s">
        <v>18</v>
      </c>
      <c r="W88">
        <f t="shared" si="9"/>
        <v>1</v>
      </c>
    </row>
    <row r="89" spans="1:23">
      <c r="A89" t="s">
        <v>176</v>
      </c>
      <c r="B89">
        <v>46198.093402777777</v>
      </c>
      <c r="C89">
        <v>46198.274450416669</v>
      </c>
      <c r="D89">
        <v>46198.37274460648</v>
      </c>
      <c r="E89" t="s">
        <v>75</v>
      </c>
      <c r="F89" t="s">
        <v>5</v>
      </c>
      <c r="G89" t="s">
        <v>79</v>
      </c>
      <c r="H89" t="s">
        <v>80</v>
      </c>
      <c r="I89" t="s">
        <v>73</v>
      </c>
      <c r="J89" t="s">
        <v>16</v>
      </c>
      <c r="K89" t="s">
        <v>68</v>
      </c>
      <c r="L89">
        <v>5</v>
      </c>
      <c r="M89">
        <f t="shared" si="5"/>
        <v>4.3451433334266767</v>
      </c>
      <c r="N89">
        <f t="shared" si="6"/>
        <v>6.7042038888903335</v>
      </c>
      <c r="O89">
        <f>VLOOKUP(F89,SLA_Targets!$A$2:$C$5,2,FALSE)</f>
        <v>4</v>
      </c>
      <c r="P89">
        <f>VLOOKUP(F89,SLA_Targets!$A$2:$C$5,3,FALSE)</f>
        <v>24</v>
      </c>
      <c r="Q89" t="str">
        <f t="shared" si="7"/>
        <v>Breached</v>
      </c>
      <c r="R89" t="str">
        <f t="shared" si="8"/>
        <v>Met</v>
      </c>
      <c r="S89" t="s">
        <v>17</v>
      </c>
      <c r="T89" t="s">
        <v>14</v>
      </c>
      <c r="U89">
        <v>2.1</v>
      </c>
      <c r="V89" t="s">
        <v>18</v>
      </c>
      <c r="W89">
        <f t="shared" si="9"/>
        <v>1</v>
      </c>
    </row>
    <row r="90" spans="1:23">
      <c r="A90" t="s">
        <v>177</v>
      </c>
      <c r="B90">
        <v>46115.922743055555</v>
      </c>
      <c r="C90">
        <v>46116.01340585648</v>
      </c>
      <c r="D90">
        <v>46117.164099004629</v>
      </c>
      <c r="E90" t="s">
        <v>75</v>
      </c>
      <c r="F90" t="s">
        <v>5</v>
      </c>
      <c r="G90" t="s">
        <v>94</v>
      </c>
      <c r="H90" t="s">
        <v>66</v>
      </c>
      <c r="I90" t="s">
        <v>92</v>
      </c>
      <c r="J90" t="s">
        <v>16</v>
      </c>
      <c r="K90" t="s">
        <v>68</v>
      </c>
      <c r="L90">
        <v>4</v>
      </c>
      <c r="M90">
        <f t="shared" si="5"/>
        <v>2.1759072222048417</v>
      </c>
      <c r="N90">
        <f t="shared" si="6"/>
        <v>29.792542777780909</v>
      </c>
      <c r="O90">
        <f>VLOOKUP(F90,SLA_Targets!$A$2:$C$5,2,FALSE)</f>
        <v>4</v>
      </c>
      <c r="P90">
        <f>VLOOKUP(F90,SLA_Targets!$A$2:$C$5,3,FALSE)</f>
        <v>24</v>
      </c>
      <c r="Q90" t="str">
        <f t="shared" si="7"/>
        <v>Met</v>
      </c>
      <c r="R90" t="str">
        <f t="shared" si="8"/>
        <v>Breached</v>
      </c>
      <c r="S90" t="s">
        <v>17</v>
      </c>
      <c r="T90" t="s">
        <v>14</v>
      </c>
      <c r="U90">
        <v>2.1</v>
      </c>
      <c r="V90" t="s">
        <v>18</v>
      </c>
      <c r="W90">
        <f t="shared" si="9"/>
        <v>1</v>
      </c>
    </row>
    <row r="91" spans="1:23">
      <c r="A91" t="s">
        <v>178</v>
      </c>
      <c r="B91">
        <v>46181.834097222221</v>
      </c>
      <c r="C91">
        <v>46181.989174282404</v>
      </c>
      <c r="D91">
        <v>46183.001873078705</v>
      </c>
      <c r="E91" t="s">
        <v>75</v>
      </c>
      <c r="F91" t="s">
        <v>5</v>
      </c>
      <c r="G91" t="s">
        <v>71</v>
      </c>
      <c r="H91" t="s">
        <v>109</v>
      </c>
      <c r="I91" t="s">
        <v>73</v>
      </c>
      <c r="J91" t="s">
        <v>25</v>
      </c>
      <c r="K91" t="s">
        <v>68</v>
      </c>
      <c r="L91">
        <v>3</v>
      </c>
      <c r="M91">
        <f t="shared" si="5"/>
        <v>3.7218494443804957</v>
      </c>
      <c r="N91">
        <f t="shared" si="6"/>
        <v>28.026620555610862</v>
      </c>
      <c r="O91">
        <f>VLOOKUP(F91,SLA_Targets!$A$2:$C$5,2,FALSE)</f>
        <v>4</v>
      </c>
      <c r="P91">
        <f>VLOOKUP(F91,SLA_Targets!$A$2:$C$5,3,FALSE)</f>
        <v>24</v>
      </c>
      <c r="Q91" t="str">
        <f t="shared" si="7"/>
        <v>Met</v>
      </c>
      <c r="R91" t="str">
        <f t="shared" si="8"/>
        <v>Breached</v>
      </c>
      <c r="S91" t="s">
        <v>26</v>
      </c>
      <c r="T91" t="s">
        <v>27</v>
      </c>
      <c r="U91">
        <v>6.3</v>
      </c>
      <c r="V91" t="s">
        <v>15</v>
      </c>
      <c r="W91">
        <f t="shared" si="9"/>
        <v>1</v>
      </c>
    </row>
    <row r="92" spans="1:23">
      <c r="A92" t="s">
        <v>179</v>
      </c>
      <c r="B92">
        <v>46173.802233796298</v>
      </c>
      <c r="C92">
        <v>46173.824402916667</v>
      </c>
      <c r="D92">
        <v>46173.897168726849</v>
      </c>
      <c r="E92" t="s">
        <v>75</v>
      </c>
      <c r="F92" t="s">
        <v>4</v>
      </c>
      <c r="G92" t="s">
        <v>94</v>
      </c>
      <c r="H92" t="s">
        <v>109</v>
      </c>
      <c r="I92" t="s">
        <v>89</v>
      </c>
      <c r="J92" t="s">
        <v>16</v>
      </c>
      <c r="K92" t="s">
        <v>68</v>
      </c>
      <c r="L92">
        <v>4</v>
      </c>
      <c r="M92">
        <f t="shared" si="5"/>
        <v>0.5320588888716884</v>
      </c>
      <c r="N92">
        <f t="shared" si="6"/>
        <v>2.2784383332473226</v>
      </c>
      <c r="O92">
        <f>VLOOKUP(F92,SLA_Targets!$A$2:$C$5,2,FALSE)</f>
        <v>1</v>
      </c>
      <c r="P92">
        <f>VLOOKUP(F92,SLA_Targets!$A$2:$C$5,3,FALSE)</f>
        <v>8</v>
      </c>
      <c r="Q92" t="str">
        <f t="shared" si="7"/>
        <v>Met</v>
      </c>
      <c r="R92" t="str">
        <f t="shared" si="8"/>
        <v>Met</v>
      </c>
      <c r="S92" t="s">
        <v>17</v>
      </c>
      <c r="T92" t="s">
        <v>14</v>
      </c>
      <c r="U92">
        <v>2.1</v>
      </c>
      <c r="V92" t="s">
        <v>18</v>
      </c>
      <c r="W92">
        <f t="shared" si="9"/>
        <v>1</v>
      </c>
    </row>
    <row r="93" spans="1:23">
      <c r="A93" t="s">
        <v>180</v>
      </c>
      <c r="B93">
        <v>46162.618587962963</v>
      </c>
      <c r="C93">
        <v>46162.684079826387</v>
      </c>
      <c r="D93">
        <v>46163.265348634261</v>
      </c>
      <c r="E93" t="s">
        <v>70</v>
      </c>
      <c r="F93" t="s">
        <v>4</v>
      </c>
      <c r="G93" t="s">
        <v>71</v>
      </c>
      <c r="H93" t="s">
        <v>109</v>
      </c>
      <c r="I93" t="s">
        <v>92</v>
      </c>
      <c r="J93" t="s">
        <v>28</v>
      </c>
      <c r="K93" t="s">
        <v>68</v>
      </c>
      <c r="L93">
        <v>3</v>
      </c>
      <c r="M93">
        <f t="shared" si="5"/>
        <v>1.5718047221889719</v>
      </c>
      <c r="N93">
        <f t="shared" si="6"/>
        <v>15.522256111144088</v>
      </c>
      <c r="O93">
        <f>VLOOKUP(F93,SLA_Targets!$A$2:$C$5,2,FALSE)</f>
        <v>1</v>
      </c>
      <c r="P93">
        <f>VLOOKUP(F93,SLA_Targets!$A$2:$C$5,3,FALSE)</f>
        <v>8</v>
      </c>
      <c r="Q93" t="str">
        <f t="shared" si="7"/>
        <v>Breached</v>
      </c>
      <c r="R93" t="str">
        <f t="shared" si="8"/>
        <v>Breached</v>
      </c>
      <c r="S93" t="s">
        <v>29</v>
      </c>
      <c r="T93" t="s">
        <v>27</v>
      </c>
      <c r="U93">
        <v>1.8</v>
      </c>
      <c r="V93" t="s">
        <v>30</v>
      </c>
      <c r="W93">
        <f t="shared" si="9"/>
        <v>1</v>
      </c>
    </row>
    <row r="94" spans="1:23">
      <c r="A94" t="s">
        <v>181</v>
      </c>
      <c r="B94">
        <v>46117.63789351852</v>
      </c>
      <c r="C94">
        <v>46117.807852754631</v>
      </c>
      <c r="D94">
        <v>46118.747503368053</v>
      </c>
      <c r="E94" t="s">
        <v>75</v>
      </c>
      <c r="F94" t="s">
        <v>5</v>
      </c>
      <c r="G94" t="s">
        <v>94</v>
      </c>
      <c r="H94" t="s">
        <v>84</v>
      </c>
      <c r="I94" t="s">
        <v>73</v>
      </c>
      <c r="J94" t="s">
        <v>37</v>
      </c>
      <c r="K94" t="s">
        <v>68</v>
      </c>
      <c r="L94">
        <v>5</v>
      </c>
      <c r="M94">
        <f t="shared" si="5"/>
        <v>4.0790216666646302</v>
      </c>
      <c r="N94">
        <f t="shared" si="6"/>
        <v>26.630636388785206</v>
      </c>
      <c r="O94">
        <f>VLOOKUP(F94,SLA_Targets!$A$2:$C$5,2,FALSE)</f>
        <v>4</v>
      </c>
      <c r="P94">
        <f>VLOOKUP(F94,SLA_Targets!$A$2:$C$5,3,FALSE)</f>
        <v>24</v>
      </c>
      <c r="Q94" t="str">
        <f t="shared" si="7"/>
        <v>Breached</v>
      </c>
      <c r="R94" t="str">
        <f t="shared" si="8"/>
        <v>Breached</v>
      </c>
      <c r="S94" t="s">
        <v>38</v>
      </c>
      <c r="T94" t="s">
        <v>14</v>
      </c>
      <c r="U94">
        <v>1.2</v>
      </c>
      <c r="V94" t="s">
        <v>39</v>
      </c>
      <c r="W94">
        <f t="shared" si="9"/>
        <v>1</v>
      </c>
    </row>
    <row r="95" spans="1:23">
      <c r="A95" t="s">
        <v>182</v>
      </c>
      <c r="B95">
        <v>46163.372106481482</v>
      </c>
      <c r="C95">
        <v>46163.519154317131</v>
      </c>
      <c r="D95">
        <v>46164.42335597222</v>
      </c>
      <c r="E95" t="s">
        <v>70</v>
      </c>
      <c r="F95" t="s">
        <v>6</v>
      </c>
      <c r="G95" t="s">
        <v>94</v>
      </c>
      <c r="H95" t="s">
        <v>88</v>
      </c>
      <c r="I95" t="s">
        <v>67</v>
      </c>
      <c r="J95" t="s">
        <v>16</v>
      </c>
      <c r="K95" t="s">
        <v>68</v>
      </c>
      <c r="L95">
        <v>5</v>
      </c>
      <c r="M95">
        <f t="shared" si="5"/>
        <v>3.5291480555897579</v>
      </c>
      <c r="N95">
        <f t="shared" si="6"/>
        <v>25.229987777711358</v>
      </c>
      <c r="O95">
        <f>VLOOKUP(F95,SLA_Targets!$A$2:$C$5,2,FALSE)</f>
        <v>8</v>
      </c>
      <c r="P95">
        <f>VLOOKUP(F95,SLA_Targets!$A$2:$C$5,3,FALSE)</f>
        <v>48</v>
      </c>
      <c r="Q95" t="str">
        <f t="shared" si="7"/>
        <v>Met</v>
      </c>
      <c r="R95" t="str">
        <f t="shared" si="8"/>
        <v>Met</v>
      </c>
      <c r="S95" t="s">
        <v>17</v>
      </c>
      <c r="T95" t="s">
        <v>14</v>
      </c>
      <c r="U95">
        <v>2.1</v>
      </c>
      <c r="V95" t="s">
        <v>18</v>
      </c>
      <c r="W95">
        <f t="shared" si="9"/>
        <v>1</v>
      </c>
    </row>
    <row r="96" spans="1:23">
      <c r="A96" t="s">
        <v>183</v>
      </c>
      <c r="B96">
        <v>46200.194016203706</v>
      </c>
      <c r="C96">
        <v>46200.270998576387</v>
      </c>
      <c r="E96" t="s">
        <v>64</v>
      </c>
      <c r="F96" t="s">
        <v>4</v>
      </c>
      <c r="G96" t="s">
        <v>83</v>
      </c>
      <c r="H96" t="s">
        <v>77</v>
      </c>
      <c r="I96" t="s">
        <v>89</v>
      </c>
      <c r="J96" t="s">
        <v>31</v>
      </c>
      <c r="K96" t="s">
        <v>68</v>
      </c>
      <c r="M96">
        <f t="shared" si="5"/>
        <v>1.8475769443321042</v>
      </c>
      <c r="N96" t="str">
        <f t="shared" si="6"/>
        <v/>
      </c>
      <c r="O96">
        <f>VLOOKUP(F96,SLA_Targets!$A$2:$C$5,2,FALSE)</f>
        <v>1</v>
      </c>
      <c r="P96">
        <f>VLOOKUP(F96,SLA_Targets!$A$2:$C$5,3,FALSE)</f>
        <v>8</v>
      </c>
      <c r="Q96" t="str">
        <f t="shared" si="7"/>
        <v>Breached</v>
      </c>
      <c r="R96" t="str">
        <f t="shared" si="8"/>
        <v>Pending</v>
      </c>
      <c r="S96" t="s">
        <v>32</v>
      </c>
      <c r="T96" t="s">
        <v>33</v>
      </c>
      <c r="U96">
        <v>7.1</v>
      </c>
      <c r="V96" t="s">
        <v>18</v>
      </c>
      <c r="W96">
        <f t="shared" si="9"/>
        <v>1</v>
      </c>
    </row>
    <row r="97" spans="1:23">
      <c r="A97" t="s">
        <v>184</v>
      </c>
      <c r="B97">
        <v>46166.293634259258</v>
      </c>
      <c r="C97">
        <v>46166.34224056713</v>
      </c>
      <c r="D97">
        <v>46166.573517523146</v>
      </c>
      <c r="E97" t="s">
        <v>70</v>
      </c>
      <c r="F97" t="s">
        <v>4</v>
      </c>
      <c r="G97" t="s">
        <v>79</v>
      </c>
      <c r="H97" t="s">
        <v>88</v>
      </c>
      <c r="I97" t="s">
        <v>73</v>
      </c>
      <c r="J97" t="s">
        <v>16</v>
      </c>
      <c r="K97" t="s">
        <v>68</v>
      </c>
      <c r="L97">
        <v>3</v>
      </c>
      <c r="M97">
        <f t="shared" si="5"/>
        <v>1.1665513889165595</v>
      </c>
      <c r="N97">
        <f t="shared" si="6"/>
        <v>6.7171983332955278</v>
      </c>
      <c r="O97">
        <f>VLOOKUP(F97,SLA_Targets!$A$2:$C$5,2,FALSE)</f>
        <v>1</v>
      </c>
      <c r="P97">
        <f>VLOOKUP(F97,SLA_Targets!$A$2:$C$5,3,FALSE)</f>
        <v>8</v>
      </c>
      <c r="Q97" t="str">
        <f t="shared" si="7"/>
        <v>Breached</v>
      </c>
      <c r="R97" t="str">
        <f t="shared" si="8"/>
        <v>Met</v>
      </c>
      <c r="S97" t="s">
        <v>17</v>
      </c>
      <c r="T97" t="s">
        <v>14</v>
      </c>
      <c r="U97">
        <v>2.1</v>
      </c>
      <c r="V97" t="s">
        <v>18</v>
      </c>
      <c r="W97">
        <f t="shared" si="9"/>
        <v>1</v>
      </c>
    </row>
    <row r="98" spans="1:23">
      <c r="A98" t="s">
        <v>185</v>
      </c>
      <c r="B98">
        <v>46190.178206018521</v>
      </c>
      <c r="C98">
        <v>46190.197502870367</v>
      </c>
      <c r="D98">
        <v>46190.381904444446</v>
      </c>
      <c r="E98" t="s">
        <v>75</v>
      </c>
      <c r="F98" t="s">
        <v>3</v>
      </c>
      <c r="G98" t="s">
        <v>83</v>
      </c>
      <c r="H98" t="s">
        <v>72</v>
      </c>
      <c r="I98" t="s">
        <v>89</v>
      </c>
      <c r="J98" t="s">
        <v>44</v>
      </c>
      <c r="K98" t="s">
        <v>68</v>
      </c>
      <c r="L98">
        <v>4</v>
      </c>
      <c r="M98">
        <f t="shared" si="5"/>
        <v>0.46312444430077448</v>
      </c>
      <c r="N98">
        <f t="shared" si="6"/>
        <v>4.8887622221955098</v>
      </c>
      <c r="O98">
        <f>VLOOKUP(F98,SLA_Targets!$A$2:$C$5,2,FALSE)</f>
        <v>0.5</v>
      </c>
      <c r="P98">
        <f>VLOOKUP(F98,SLA_Targets!$A$2:$C$5,3,FALSE)</f>
        <v>4</v>
      </c>
      <c r="Q98" t="str">
        <f t="shared" si="7"/>
        <v>Met</v>
      </c>
      <c r="R98" t="str">
        <f t="shared" si="8"/>
        <v>Breached</v>
      </c>
      <c r="S98" t="s">
        <v>45</v>
      </c>
      <c r="T98" t="s">
        <v>33</v>
      </c>
      <c r="U98">
        <v>5.0999999999999996</v>
      </c>
      <c r="V98" t="s">
        <v>30</v>
      </c>
      <c r="W98">
        <f t="shared" si="9"/>
        <v>1</v>
      </c>
    </row>
    <row r="99" spans="1:23">
      <c r="A99" t="s">
        <v>186</v>
      </c>
      <c r="B99">
        <v>46148.494664351849</v>
      </c>
      <c r="C99">
        <v>46148.585366018517</v>
      </c>
      <c r="D99">
        <v>46149.066092638888</v>
      </c>
      <c r="E99" t="s">
        <v>70</v>
      </c>
      <c r="F99" t="s">
        <v>5</v>
      </c>
      <c r="G99" t="s">
        <v>94</v>
      </c>
      <c r="H99" t="s">
        <v>84</v>
      </c>
      <c r="I99" t="s">
        <v>73</v>
      </c>
      <c r="J99" t="s">
        <v>37</v>
      </c>
      <c r="K99" t="s">
        <v>85</v>
      </c>
      <c r="L99">
        <v>4</v>
      </c>
      <c r="M99">
        <f t="shared" si="5"/>
        <v>2.1768400000291876</v>
      </c>
      <c r="N99">
        <f t="shared" si="6"/>
        <v>13.714278888946865</v>
      </c>
      <c r="O99">
        <f>VLOOKUP(F99,SLA_Targets!$A$2:$C$5,2,FALSE)</f>
        <v>4</v>
      </c>
      <c r="P99">
        <f>VLOOKUP(F99,SLA_Targets!$A$2:$C$5,3,FALSE)</f>
        <v>24</v>
      </c>
      <c r="Q99" t="str">
        <f t="shared" si="7"/>
        <v>Met</v>
      </c>
      <c r="R99" t="str">
        <f t="shared" si="8"/>
        <v>Met</v>
      </c>
      <c r="S99" t="s">
        <v>38</v>
      </c>
      <c r="T99" t="s">
        <v>14</v>
      </c>
      <c r="U99">
        <v>1.2</v>
      </c>
      <c r="V99" t="s">
        <v>39</v>
      </c>
      <c r="W99">
        <f t="shared" si="9"/>
        <v>1</v>
      </c>
    </row>
    <row r="100" spans="1:23">
      <c r="A100" t="s">
        <v>187</v>
      </c>
      <c r="B100">
        <v>46202.029502314814</v>
      </c>
      <c r="C100">
        <v>46202.082836041664</v>
      </c>
      <c r="D100">
        <v>46202.805221643517</v>
      </c>
      <c r="E100" t="s">
        <v>75</v>
      </c>
      <c r="F100" t="s">
        <v>4</v>
      </c>
      <c r="G100" t="s">
        <v>71</v>
      </c>
      <c r="H100" t="s">
        <v>77</v>
      </c>
      <c r="I100" t="s">
        <v>92</v>
      </c>
      <c r="J100" t="s">
        <v>28</v>
      </c>
      <c r="K100" t="s">
        <v>85</v>
      </c>
      <c r="L100">
        <v>4</v>
      </c>
      <c r="M100">
        <f t="shared" si="5"/>
        <v>1.2800094443955459</v>
      </c>
      <c r="N100">
        <f t="shared" si="6"/>
        <v>18.617263888882007</v>
      </c>
      <c r="O100">
        <f>VLOOKUP(F100,SLA_Targets!$A$2:$C$5,2,FALSE)</f>
        <v>1</v>
      </c>
      <c r="P100">
        <f>VLOOKUP(F100,SLA_Targets!$A$2:$C$5,3,FALSE)</f>
        <v>8</v>
      </c>
      <c r="Q100" t="str">
        <f t="shared" si="7"/>
        <v>Breached</v>
      </c>
      <c r="R100" t="str">
        <f t="shared" si="8"/>
        <v>Breached</v>
      </c>
      <c r="S100" t="s">
        <v>29</v>
      </c>
      <c r="T100" t="s">
        <v>27</v>
      </c>
      <c r="U100">
        <v>1.8</v>
      </c>
      <c r="V100" t="s">
        <v>30</v>
      </c>
      <c r="W100">
        <f t="shared" si="9"/>
        <v>1</v>
      </c>
    </row>
    <row r="101" spans="1:23">
      <c r="A101" t="s">
        <v>188</v>
      </c>
      <c r="B101">
        <v>46179.542094907411</v>
      </c>
      <c r="C101">
        <v>46179.974552615742</v>
      </c>
      <c r="D101">
        <v>46185.268399837965</v>
      </c>
      <c r="E101" t="s">
        <v>75</v>
      </c>
      <c r="F101" t="s">
        <v>6</v>
      </c>
      <c r="G101" t="s">
        <v>83</v>
      </c>
      <c r="H101" t="s">
        <v>106</v>
      </c>
      <c r="I101" t="s">
        <v>73</v>
      </c>
      <c r="J101" t="s">
        <v>44</v>
      </c>
      <c r="K101" t="s">
        <v>68</v>
      </c>
      <c r="L101">
        <v>3</v>
      </c>
      <c r="M101">
        <f t="shared" si="5"/>
        <v>10.378984999959357</v>
      </c>
      <c r="N101">
        <f t="shared" si="6"/>
        <v>137.43131833331427</v>
      </c>
      <c r="O101">
        <f>VLOOKUP(F101,SLA_Targets!$A$2:$C$5,2,FALSE)</f>
        <v>8</v>
      </c>
      <c r="P101">
        <f>VLOOKUP(F101,SLA_Targets!$A$2:$C$5,3,FALSE)</f>
        <v>48</v>
      </c>
      <c r="Q101" t="str">
        <f t="shared" si="7"/>
        <v>Breached</v>
      </c>
      <c r="R101" t="str">
        <f t="shared" si="8"/>
        <v>Breached</v>
      </c>
      <c r="S101" t="s">
        <v>45</v>
      </c>
      <c r="T101" t="s">
        <v>33</v>
      </c>
      <c r="U101">
        <v>5.0999999999999996</v>
      </c>
      <c r="V101" t="s">
        <v>30</v>
      </c>
      <c r="W101">
        <f t="shared" si="9"/>
        <v>1</v>
      </c>
    </row>
    <row r="102" spans="1:23">
      <c r="A102" t="s">
        <v>189</v>
      </c>
      <c r="B102">
        <v>46132.846585648149</v>
      </c>
      <c r="C102">
        <v>46132.869425543984</v>
      </c>
      <c r="D102">
        <v>46133.199175138892</v>
      </c>
      <c r="E102" t="s">
        <v>75</v>
      </c>
      <c r="F102" t="s">
        <v>4</v>
      </c>
      <c r="G102" t="s">
        <v>105</v>
      </c>
      <c r="H102" t="s">
        <v>109</v>
      </c>
      <c r="I102" t="s">
        <v>89</v>
      </c>
      <c r="J102" t="s">
        <v>34</v>
      </c>
      <c r="K102" t="s">
        <v>68</v>
      </c>
      <c r="L102">
        <v>4</v>
      </c>
      <c r="M102">
        <f t="shared" si="5"/>
        <v>0.54815750004490837</v>
      </c>
      <c r="N102">
        <f t="shared" si="6"/>
        <v>8.4621477778418921</v>
      </c>
      <c r="O102">
        <f>VLOOKUP(F102,SLA_Targets!$A$2:$C$5,2,FALSE)</f>
        <v>1</v>
      </c>
      <c r="P102">
        <f>VLOOKUP(F102,SLA_Targets!$A$2:$C$5,3,FALSE)</f>
        <v>8</v>
      </c>
      <c r="Q102" t="str">
        <f t="shared" si="7"/>
        <v>Met</v>
      </c>
      <c r="R102" t="str">
        <f t="shared" si="8"/>
        <v>Breached</v>
      </c>
      <c r="S102" t="s">
        <v>35</v>
      </c>
      <c r="T102" t="s">
        <v>33</v>
      </c>
      <c r="U102">
        <v>3</v>
      </c>
      <c r="V102" t="s">
        <v>36</v>
      </c>
      <c r="W102">
        <f t="shared" si="9"/>
        <v>1</v>
      </c>
    </row>
    <row r="103" spans="1:23">
      <c r="A103" t="s">
        <v>190</v>
      </c>
      <c r="B103">
        <v>46183.128645833334</v>
      </c>
      <c r="C103">
        <v>46183.322006076392</v>
      </c>
      <c r="D103">
        <v>46184.394240277776</v>
      </c>
      <c r="E103" t="s">
        <v>70</v>
      </c>
      <c r="F103" t="s">
        <v>5</v>
      </c>
      <c r="G103" t="s">
        <v>71</v>
      </c>
      <c r="H103" t="s">
        <v>80</v>
      </c>
      <c r="I103" t="s">
        <v>92</v>
      </c>
      <c r="J103" t="s">
        <v>28</v>
      </c>
      <c r="K103" t="s">
        <v>68</v>
      </c>
      <c r="L103">
        <v>4</v>
      </c>
      <c r="M103">
        <f t="shared" si="5"/>
        <v>4.6406458333949558</v>
      </c>
      <c r="N103">
        <f t="shared" si="6"/>
        <v>30.37426666659303</v>
      </c>
      <c r="O103">
        <f>VLOOKUP(F103,SLA_Targets!$A$2:$C$5,2,FALSE)</f>
        <v>4</v>
      </c>
      <c r="P103">
        <f>VLOOKUP(F103,SLA_Targets!$A$2:$C$5,3,FALSE)</f>
        <v>24</v>
      </c>
      <c r="Q103" t="str">
        <f t="shared" si="7"/>
        <v>Breached</v>
      </c>
      <c r="R103" t="str">
        <f t="shared" si="8"/>
        <v>Breached</v>
      </c>
      <c r="S103" t="s">
        <v>29</v>
      </c>
      <c r="T103" t="s">
        <v>27</v>
      </c>
      <c r="U103">
        <v>1.8</v>
      </c>
      <c r="V103" t="s">
        <v>30</v>
      </c>
      <c r="W103">
        <f t="shared" si="9"/>
        <v>1</v>
      </c>
    </row>
    <row r="104" spans="1:23">
      <c r="A104" t="s">
        <v>191</v>
      </c>
      <c r="B104">
        <v>46155.336400462962</v>
      </c>
      <c r="C104">
        <v>46155.483888391202</v>
      </c>
      <c r="D104">
        <v>46156.074357268517</v>
      </c>
      <c r="E104" t="s">
        <v>75</v>
      </c>
      <c r="F104" t="s">
        <v>6</v>
      </c>
      <c r="G104" t="s">
        <v>71</v>
      </c>
      <c r="H104" t="s">
        <v>84</v>
      </c>
      <c r="I104" t="s">
        <v>73</v>
      </c>
      <c r="J104" t="s">
        <v>25</v>
      </c>
      <c r="K104" t="s">
        <v>68</v>
      </c>
      <c r="L104">
        <v>5</v>
      </c>
      <c r="M104">
        <f t="shared" si="5"/>
        <v>3.5397102777496912</v>
      </c>
      <c r="N104">
        <f t="shared" si="6"/>
        <v>17.710963333316613</v>
      </c>
      <c r="O104">
        <f>VLOOKUP(F104,SLA_Targets!$A$2:$C$5,2,FALSE)</f>
        <v>8</v>
      </c>
      <c r="P104">
        <f>VLOOKUP(F104,SLA_Targets!$A$2:$C$5,3,FALSE)</f>
        <v>48</v>
      </c>
      <c r="Q104" t="str">
        <f t="shared" si="7"/>
        <v>Met</v>
      </c>
      <c r="R104" t="str">
        <f t="shared" si="8"/>
        <v>Met</v>
      </c>
      <c r="S104" t="s">
        <v>26</v>
      </c>
      <c r="T104" t="s">
        <v>27</v>
      </c>
      <c r="U104">
        <v>6.3</v>
      </c>
      <c r="V104" t="s">
        <v>15</v>
      </c>
      <c r="W104">
        <f t="shared" si="9"/>
        <v>1</v>
      </c>
    </row>
    <row r="105" spans="1:23">
      <c r="A105" t="s">
        <v>192</v>
      </c>
      <c r="B105">
        <v>46165.128912037035</v>
      </c>
      <c r="C105">
        <v>46165.158946828706</v>
      </c>
      <c r="D105">
        <v>46165.441311030096</v>
      </c>
      <c r="E105" t="s">
        <v>75</v>
      </c>
      <c r="F105" t="s">
        <v>4</v>
      </c>
      <c r="G105" t="s">
        <v>65</v>
      </c>
      <c r="H105" t="s">
        <v>84</v>
      </c>
      <c r="I105" t="s">
        <v>89</v>
      </c>
      <c r="J105" t="s">
        <v>42</v>
      </c>
      <c r="K105" t="s">
        <v>85</v>
      </c>
      <c r="L105">
        <v>3</v>
      </c>
      <c r="M105">
        <f t="shared" si="5"/>
        <v>0.72083500010194257</v>
      </c>
      <c r="N105">
        <f t="shared" si="6"/>
        <v>7.4975758334621787</v>
      </c>
      <c r="O105">
        <f>VLOOKUP(F105,SLA_Targets!$A$2:$C$5,2,FALSE)</f>
        <v>1</v>
      </c>
      <c r="P105">
        <f>VLOOKUP(F105,SLA_Targets!$A$2:$C$5,3,FALSE)</f>
        <v>8</v>
      </c>
      <c r="Q105" t="str">
        <f t="shared" si="7"/>
        <v>Met</v>
      </c>
      <c r="R105" t="str">
        <f t="shared" si="8"/>
        <v>Met</v>
      </c>
      <c r="S105" t="s">
        <v>43</v>
      </c>
      <c r="T105" t="s">
        <v>21</v>
      </c>
      <c r="U105">
        <v>2.7</v>
      </c>
      <c r="V105" t="s">
        <v>36</v>
      </c>
      <c r="W105">
        <f t="shared" si="9"/>
        <v>1</v>
      </c>
    </row>
    <row r="106" spans="1:23">
      <c r="A106" t="s">
        <v>193</v>
      </c>
      <c r="B106">
        <v>46176.551782407405</v>
      </c>
      <c r="C106">
        <v>46176.714359189813</v>
      </c>
      <c r="D106">
        <v>46177.266320752315</v>
      </c>
      <c r="E106" t="s">
        <v>75</v>
      </c>
      <c r="F106" t="s">
        <v>5</v>
      </c>
      <c r="G106" t="s">
        <v>79</v>
      </c>
      <c r="H106" t="s">
        <v>109</v>
      </c>
      <c r="I106" t="s">
        <v>92</v>
      </c>
      <c r="J106" t="s">
        <v>37</v>
      </c>
      <c r="K106" t="s">
        <v>68</v>
      </c>
      <c r="L106">
        <v>4</v>
      </c>
      <c r="M106">
        <f t="shared" si="5"/>
        <v>3.9018427777918987</v>
      </c>
      <c r="N106">
        <f t="shared" si="6"/>
        <v>17.148920277832076</v>
      </c>
      <c r="O106">
        <f>VLOOKUP(F106,SLA_Targets!$A$2:$C$5,2,FALSE)</f>
        <v>4</v>
      </c>
      <c r="P106">
        <f>VLOOKUP(F106,SLA_Targets!$A$2:$C$5,3,FALSE)</f>
        <v>24</v>
      </c>
      <c r="Q106" t="str">
        <f t="shared" si="7"/>
        <v>Met</v>
      </c>
      <c r="R106" t="str">
        <f t="shared" si="8"/>
        <v>Met</v>
      </c>
      <c r="S106" t="s">
        <v>38</v>
      </c>
      <c r="T106" t="s">
        <v>14</v>
      </c>
      <c r="U106">
        <v>1.2</v>
      </c>
      <c r="V106" t="s">
        <v>39</v>
      </c>
      <c r="W106">
        <f t="shared" si="9"/>
        <v>1</v>
      </c>
    </row>
    <row r="107" spans="1:23">
      <c r="A107" t="s">
        <v>194</v>
      </c>
      <c r="B107">
        <v>46180.191076388888</v>
      </c>
      <c r="C107">
        <v>46180.206416631947</v>
      </c>
      <c r="D107">
        <v>46180.438414166667</v>
      </c>
      <c r="E107" t="s">
        <v>75</v>
      </c>
      <c r="F107" t="s">
        <v>4</v>
      </c>
      <c r="G107" t="s">
        <v>65</v>
      </c>
      <c r="H107" t="s">
        <v>77</v>
      </c>
      <c r="I107" t="s">
        <v>73</v>
      </c>
      <c r="J107" t="s">
        <v>23</v>
      </c>
      <c r="K107" t="s">
        <v>68</v>
      </c>
      <c r="L107">
        <v>4</v>
      </c>
      <c r="M107">
        <f t="shared" si="5"/>
        <v>0.36816583340987563</v>
      </c>
      <c r="N107">
        <f t="shared" si="6"/>
        <v>5.9361066666897386</v>
      </c>
      <c r="O107">
        <f>VLOOKUP(F107,SLA_Targets!$A$2:$C$5,2,FALSE)</f>
        <v>1</v>
      </c>
      <c r="P107">
        <f>VLOOKUP(F107,SLA_Targets!$A$2:$C$5,3,FALSE)</f>
        <v>8</v>
      </c>
      <c r="Q107" t="str">
        <f t="shared" si="7"/>
        <v>Met</v>
      </c>
      <c r="R107" t="str">
        <f t="shared" si="8"/>
        <v>Met</v>
      </c>
      <c r="S107" t="s">
        <v>24</v>
      </c>
      <c r="T107" t="s">
        <v>21</v>
      </c>
      <c r="U107">
        <v>3.4</v>
      </c>
      <c r="V107" t="s">
        <v>22</v>
      </c>
      <c r="W107">
        <f t="shared" si="9"/>
        <v>1</v>
      </c>
    </row>
    <row r="108" spans="1:23">
      <c r="A108" t="s">
        <v>195</v>
      </c>
      <c r="B108">
        <v>46118.246608796297</v>
      </c>
      <c r="C108">
        <v>46118.374098900465</v>
      </c>
      <c r="D108">
        <v>46120.446233784722</v>
      </c>
      <c r="E108" t="s">
        <v>75</v>
      </c>
      <c r="F108" t="s">
        <v>5</v>
      </c>
      <c r="G108" t="s">
        <v>79</v>
      </c>
      <c r="H108" t="s">
        <v>72</v>
      </c>
      <c r="I108" t="s">
        <v>92</v>
      </c>
      <c r="J108" t="s">
        <v>37</v>
      </c>
      <c r="K108" t="s">
        <v>68</v>
      </c>
      <c r="L108">
        <v>4</v>
      </c>
      <c r="M108">
        <f t="shared" si="5"/>
        <v>3.0597625000518747</v>
      </c>
      <c r="N108">
        <f t="shared" si="6"/>
        <v>52.790999722201377</v>
      </c>
      <c r="O108">
        <f>VLOOKUP(F108,SLA_Targets!$A$2:$C$5,2,FALSE)</f>
        <v>4</v>
      </c>
      <c r="P108">
        <f>VLOOKUP(F108,SLA_Targets!$A$2:$C$5,3,FALSE)</f>
        <v>24</v>
      </c>
      <c r="Q108" t="str">
        <f t="shared" si="7"/>
        <v>Met</v>
      </c>
      <c r="R108" t="str">
        <f t="shared" si="8"/>
        <v>Breached</v>
      </c>
      <c r="S108" t="s">
        <v>38</v>
      </c>
      <c r="T108" t="s">
        <v>14</v>
      </c>
      <c r="U108">
        <v>1.2</v>
      </c>
      <c r="V108" t="s">
        <v>39</v>
      </c>
      <c r="W108">
        <f t="shared" si="9"/>
        <v>1</v>
      </c>
    </row>
    <row r="109" spans="1:23">
      <c r="A109" t="s">
        <v>196</v>
      </c>
      <c r="B109">
        <v>46136.705763888887</v>
      </c>
      <c r="C109">
        <v>46136.989939907406</v>
      </c>
      <c r="D109">
        <v>46137.23407042824</v>
      </c>
      <c r="E109" t="s">
        <v>75</v>
      </c>
      <c r="F109" t="s">
        <v>5</v>
      </c>
      <c r="G109" t="s">
        <v>79</v>
      </c>
      <c r="H109" t="s">
        <v>88</v>
      </c>
      <c r="I109" t="s">
        <v>89</v>
      </c>
      <c r="J109" t="s">
        <v>12</v>
      </c>
      <c r="K109" t="s">
        <v>85</v>
      </c>
      <c r="L109">
        <v>3</v>
      </c>
      <c r="M109">
        <f t="shared" si="5"/>
        <v>6.8202244444401003</v>
      </c>
      <c r="N109">
        <f t="shared" si="6"/>
        <v>12.679356944456231</v>
      </c>
      <c r="O109">
        <f>VLOOKUP(F109,SLA_Targets!$A$2:$C$5,2,FALSE)</f>
        <v>4</v>
      </c>
      <c r="P109">
        <f>VLOOKUP(F109,SLA_Targets!$A$2:$C$5,3,FALSE)</f>
        <v>24</v>
      </c>
      <c r="Q109" t="str">
        <f t="shared" si="7"/>
        <v>Breached</v>
      </c>
      <c r="R109" t="str">
        <f t="shared" si="8"/>
        <v>Met</v>
      </c>
      <c r="S109" t="s">
        <v>13</v>
      </c>
      <c r="T109" t="s">
        <v>14</v>
      </c>
      <c r="U109">
        <v>4.2</v>
      </c>
      <c r="V109" t="s">
        <v>15</v>
      </c>
      <c r="W109">
        <f t="shared" si="9"/>
        <v>1</v>
      </c>
    </row>
    <row r="110" spans="1:23">
      <c r="A110" t="s">
        <v>197</v>
      </c>
      <c r="B110">
        <v>46141.353773148148</v>
      </c>
      <c r="C110">
        <v>46141.364933726851</v>
      </c>
      <c r="D110">
        <v>46141.482215821758</v>
      </c>
      <c r="E110" t="s">
        <v>75</v>
      </c>
      <c r="F110" t="s">
        <v>4</v>
      </c>
      <c r="G110" t="s">
        <v>65</v>
      </c>
      <c r="H110" t="s">
        <v>88</v>
      </c>
      <c r="I110" t="s">
        <v>73</v>
      </c>
      <c r="J110" t="s">
        <v>42</v>
      </c>
      <c r="K110" t="s">
        <v>85</v>
      </c>
      <c r="L110">
        <v>4</v>
      </c>
      <c r="M110">
        <f t="shared" si="5"/>
        <v>0.26785388885764405</v>
      </c>
      <c r="N110">
        <f t="shared" si="6"/>
        <v>3.0826241666218266</v>
      </c>
      <c r="O110">
        <f>VLOOKUP(F110,SLA_Targets!$A$2:$C$5,2,FALSE)</f>
        <v>1</v>
      </c>
      <c r="P110">
        <f>VLOOKUP(F110,SLA_Targets!$A$2:$C$5,3,FALSE)</f>
        <v>8</v>
      </c>
      <c r="Q110" t="str">
        <f t="shared" si="7"/>
        <v>Met</v>
      </c>
      <c r="R110" t="str">
        <f t="shared" si="8"/>
        <v>Met</v>
      </c>
      <c r="S110" t="s">
        <v>43</v>
      </c>
      <c r="T110" t="s">
        <v>21</v>
      </c>
      <c r="U110">
        <v>2.7</v>
      </c>
      <c r="V110" t="s">
        <v>36</v>
      </c>
      <c r="W110">
        <f t="shared" si="9"/>
        <v>1</v>
      </c>
    </row>
    <row r="111" spans="1:23">
      <c r="A111" t="s">
        <v>198</v>
      </c>
      <c r="B111">
        <v>46117.111504629633</v>
      </c>
      <c r="C111">
        <v>46117.118405324072</v>
      </c>
      <c r="D111">
        <v>46117.188411388888</v>
      </c>
      <c r="E111" t="s">
        <v>70</v>
      </c>
      <c r="F111" t="s">
        <v>3</v>
      </c>
      <c r="G111" t="s">
        <v>65</v>
      </c>
      <c r="H111" t="s">
        <v>77</v>
      </c>
      <c r="I111" t="s">
        <v>89</v>
      </c>
      <c r="J111" t="s">
        <v>23</v>
      </c>
      <c r="K111" t="s">
        <v>68</v>
      </c>
      <c r="L111">
        <v>4</v>
      </c>
      <c r="M111">
        <f t="shared" si="5"/>
        <v>0.16561666654888541</v>
      </c>
      <c r="N111">
        <f t="shared" si="6"/>
        <v>1.8457622221321799</v>
      </c>
      <c r="O111">
        <f>VLOOKUP(F111,SLA_Targets!$A$2:$C$5,2,FALSE)</f>
        <v>0.5</v>
      </c>
      <c r="P111">
        <f>VLOOKUP(F111,SLA_Targets!$A$2:$C$5,3,FALSE)</f>
        <v>4</v>
      </c>
      <c r="Q111" t="str">
        <f t="shared" si="7"/>
        <v>Met</v>
      </c>
      <c r="R111" t="str">
        <f t="shared" si="8"/>
        <v>Met</v>
      </c>
      <c r="S111" t="s">
        <v>24</v>
      </c>
      <c r="T111" t="s">
        <v>21</v>
      </c>
      <c r="U111">
        <v>3.4</v>
      </c>
      <c r="V111" t="s">
        <v>22</v>
      </c>
      <c r="W111">
        <f t="shared" si="9"/>
        <v>1</v>
      </c>
    </row>
    <row r="112" spans="1:23">
      <c r="A112" t="s">
        <v>199</v>
      </c>
      <c r="B112">
        <v>46165.01840277778</v>
      </c>
      <c r="C112">
        <v>46165.108463229168</v>
      </c>
      <c r="D112">
        <v>46167.535947083335</v>
      </c>
      <c r="E112" t="s">
        <v>75</v>
      </c>
      <c r="F112" t="s">
        <v>5</v>
      </c>
      <c r="G112" t="s">
        <v>71</v>
      </c>
      <c r="H112" t="s">
        <v>109</v>
      </c>
      <c r="I112" t="s">
        <v>73</v>
      </c>
      <c r="J112" t="s">
        <v>28</v>
      </c>
      <c r="K112" t="s">
        <v>68</v>
      </c>
      <c r="L112">
        <v>5</v>
      </c>
      <c r="M112">
        <f t="shared" si="5"/>
        <v>2.1614508333150297</v>
      </c>
      <c r="N112">
        <f t="shared" si="6"/>
        <v>60.421063333342317</v>
      </c>
      <c r="O112">
        <f>VLOOKUP(F112,SLA_Targets!$A$2:$C$5,2,FALSE)</f>
        <v>4</v>
      </c>
      <c r="P112">
        <f>VLOOKUP(F112,SLA_Targets!$A$2:$C$5,3,FALSE)</f>
        <v>24</v>
      </c>
      <c r="Q112" t="str">
        <f t="shared" si="7"/>
        <v>Met</v>
      </c>
      <c r="R112" t="str">
        <f t="shared" si="8"/>
        <v>Breached</v>
      </c>
      <c r="S112" t="s">
        <v>29</v>
      </c>
      <c r="T112" t="s">
        <v>27</v>
      </c>
      <c r="U112">
        <v>1.8</v>
      </c>
      <c r="V112" t="s">
        <v>30</v>
      </c>
      <c r="W112">
        <f t="shared" si="9"/>
        <v>1</v>
      </c>
    </row>
    <row r="113" spans="1:23">
      <c r="A113" t="s">
        <v>200</v>
      </c>
      <c r="B113">
        <v>46188.691180555557</v>
      </c>
      <c r="C113">
        <v>46188.771099351849</v>
      </c>
      <c r="D113">
        <v>46188.839665844906</v>
      </c>
      <c r="E113" t="s">
        <v>75</v>
      </c>
      <c r="F113" t="s">
        <v>4</v>
      </c>
      <c r="G113" t="s">
        <v>76</v>
      </c>
      <c r="H113" t="s">
        <v>77</v>
      </c>
      <c r="I113" t="s">
        <v>89</v>
      </c>
      <c r="J113" t="s">
        <v>25</v>
      </c>
      <c r="K113" t="s">
        <v>68</v>
      </c>
      <c r="L113">
        <v>4</v>
      </c>
      <c r="M113">
        <f t="shared" si="5"/>
        <v>1.9180511109880172</v>
      </c>
      <c r="N113">
        <f t="shared" si="6"/>
        <v>3.5636469443561509</v>
      </c>
      <c r="O113">
        <f>VLOOKUP(F113,SLA_Targets!$A$2:$C$5,2,FALSE)</f>
        <v>1</v>
      </c>
      <c r="P113">
        <f>VLOOKUP(F113,SLA_Targets!$A$2:$C$5,3,FALSE)</f>
        <v>8</v>
      </c>
      <c r="Q113" t="str">
        <f t="shared" si="7"/>
        <v>Breached</v>
      </c>
      <c r="R113" t="str">
        <f t="shared" si="8"/>
        <v>Met</v>
      </c>
      <c r="S113" t="s">
        <v>26</v>
      </c>
      <c r="T113" t="s">
        <v>27</v>
      </c>
      <c r="U113">
        <v>6.3</v>
      </c>
      <c r="V113" t="s">
        <v>15</v>
      </c>
      <c r="W113">
        <f t="shared" si="9"/>
        <v>1</v>
      </c>
    </row>
    <row r="114" spans="1:23">
      <c r="A114" t="s">
        <v>201</v>
      </c>
      <c r="B114">
        <v>46153.992858796293</v>
      </c>
      <c r="C114">
        <v>46154.101924340277</v>
      </c>
      <c r="D114">
        <v>46154.45678940972</v>
      </c>
      <c r="E114" t="s">
        <v>75</v>
      </c>
      <c r="F114" t="s">
        <v>5</v>
      </c>
      <c r="G114" t="s">
        <v>65</v>
      </c>
      <c r="H114" t="s">
        <v>77</v>
      </c>
      <c r="I114" t="s">
        <v>67</v>
      </c>
      <c r="J114" t="s">
        <v>23</v>
      </c>
      <c r="K114" t="s">
        <v>68</v>
      </c>
      <c r="L114">
        <v>5</v>
      </c>
      <c r="M114">
        <f t="shared" si="5"/>
        <v>2.6175730556133203</v>
      </c>
      <c r="N114">
        <f t="shared" si="6"/>
        <v>11.134334722242784</v>
      </c>
      <c r="O114">
        <f>VLOOKUP(F114,SLA_Targets!$A$2:$C$5,2,FALSE)</f>
        <v>4</v>
      </c>
      <c r="P114">
        <f>VLOOKUP(F114,SLA_Targets!$A$2:$C$5,3,FALSE)</f>
        <v>24</v>
      </c>
      <c r="Q114" t="str">
        <f t="shared" si="7"/>
        <v>Met</v>
      </c>
      <c r="R114" t="str">
        <f t="shared" si="8"/>
        <v>Met</v>
      </c>
      <c r="S114" t="s">
        <v>24</v>
      </c>
      <c r="T114" t="s">
        <v>21</v>
      </c>
      <c r="U114">
        <v>3.4</v>
      </c>
      <c r="V114" t="s">
        <v>22</v>
      </c>
      <c r="W114">
        <f t="shared" si="9"/>
        <v>1</v>
      </c>
    </row>
    <row r="115" spans="1:23">
      <c r="A115" t="s">
        <v>202</v>
      </c>
      <c r="B115">
        <v>46166.371192129627</v>
      </c>
      <c r="C115">
        <v>46166.439657546296</v>
      </c>
      <c r="D115">
        <v>46166.895806064815</v>
      </c>
      <c r="E115" t="s">
        <v>75</v>
      </c>
      <c r="F115" t="s">
        <v>5</v>
      </c>
      <c r="G115" t="s">
        <v>94</v>
      </c>
      <c r="H115" t="s">
        <v>88</v>
      </c>
      <c r="I115" t="s">
        <v>73</v>
      </c>
      <c r="J115" t="s">
        <v>37</v>
      </c>
      <c r="K115" t="s">
        <v>68</v>
      </c>
      <c r="L115">
        <v>4</v>
      </c>
      <c r="M115">
        <f t="shared" si="5"/>
        <v>1.6431700000539422</v>
      </c>
      <c r="N115">
        <f t="shared" si="6"/>
        <v>12.590734444500413</v>
      </c>
      <c r="O115">
        <f>VLOOKUP(F115,SLA_Targets!$A$2:$C$5,2,FALSE)</f>
        <v>4</v>
      </c>
      <c r="P115">
        <f>VLOOKUP(F115,SLA_Targets!$A$2:$C$5,3,FALSE)</f>
        <v>24</v>
      </c>
      <c r="Q115" t="str">
        <f t="shared" si="7"/>
        <v>Met</v>
      </c>
      <c r="R115" t="str">
        <f t="shared" si="8"/>
        <v>Met</v>
      </c>
      <c r="S115" t="s">
        <v>38</v>
      </c>
      <c r="T115" t="s">
        <v>14</v>
      </c>
      <c r="U115">
        <v>1.2</v>
      </c>
      <c r="V115" t="s">
        <v>39</v>
      </c>
      <c r="W115">
        <f t="shared" si="9"/>
        <v>1</v>
      </c>
    </row>
    <row r="116" spans="1:23">
      <c r="A116" t="s">
        <v>203</v>
      </c>
      <c r="B116">
        <v>46190.559525462966</v>
      </c>
      <c r="C116">
        <v>46190.585851678239</v>
      </c>
      <c r="D116">
        <v>46190.918528078706</v>
      </c>
      <c r="E116" t="s">
        <v>75</v>
      </c>
      <c r="F116" t="s">
        <v>4</v>
      </c>
      <c r="G116" t="s">
        <v>105</v>
      </c>
      <c r="H116" t="s">
        <v>72</v>
      </c>
      <c r="I116" t="s">
        <v>67</v>
      </c>
      <c r="J116" t="s">
        <v>44</v>
      </c>
      <c r="K116" t="s">
        <v>68</v>
      </c>
      <c r="L116">
        <v>5</v>
      </c>
      <c r="M116">
        <f t="shared" si="5"/>
        <v>0.6318291665520519</v>
      </c>
      <c r="N116">
        <f t="shared" si="6"/>
        <v>8.616062777757179</v>
      </c>
      <c r="O116">
        <f>VLOOKUP(F116,SLA_Targets!$A$2:$C$5,2,FALSE)</f>
        <v>1</v>
      </c>
      <c r="P116">
        <f>VLOOKUP(F116,SLA_Targets!$A$2:$C$5,3,FALSE)</f>
        <v>8</v>
      </c>
      <c r="Q116" t="str">
        <f t="shared" si="7"/>
        <v>Met</v>
      </c>
      <c r="R116" t="str">
        <f t="shared" si="8"/>
        <v>Breached</v>
      </c>
      <c r="S116" t="s">
        <v>45</v>
      </c>
      <c r="T116" t="s">
        <v>33</v>
      </c>
      <c r="U116">
        <v>5.0999999999999996</v>
      </c>
      <c r="V116" t="s">
        <v>30</v>
      </c>
      <c r="W116">
        <f t="shared" si="9"/>
        <v>1</v>
      </c>
    </row>
    <row r="117" spans="1:23">
      <c r="A117" t="s">
        <v>204</v>
      </c>
      <c r="B117">
        <v>46132.952187499999</v>
      </c>
      <c r="C117">
        <v>46133.092323067132</v>
      </c>
      <c r="D117">
        <v>46133.433750127311</v>
      </c>
      <c r="E117" t="s">
        <v>75</v>
      </c>
      <c r="F117" t="s">
        <v>5</v>
      </c>
      <c r="G117" t="s">
        <v>98</v>
      </c>
      <c r="H117" t="s">
        <v>88</v>
      </c>
      <c r="I117" t="s">
        <v>73</v>
      </c>
      <c r="J117" t="s">
        <v>37</v>
      </c>
      <c r="K117" t="s">
        <v>68</v>
      </c>
      <c r="L117">
        <v>4</v>
      </c>
      <c r="M117">
        <f t="shared" si="5"/>
        <v>3.3632536111981608</v>
      </c>
      <c r="N117">
        <f t="shared" si="6"/>
        <v>11.557503055490088</v>
      </c>
      <c r="O117">
        <f>VLOOKUP(F117,SLA_Targets!$A$2:$C$5,2,FALSE)</f>
        <v>4</v>
      </c>
      <c r="P117">
        <f>VLOOKUP(F117,SLA_Targets!$A$2:$C$5,3,FALSE)</f>
        <v>24</v>
      </c>
      <c r="Q117" t="str">
        <f t="shared" si="7"/>
        <v>Met</v>
      </c>
      <c r="R117" t="str">
        <f t="shared" si="8"/>
        <v>Met</v>
      </c>
      <c r="S117" t="s">
        <v>38</v>
      </c>
      <c r="T117" t="s">
        <v>14</v>
      </c>
      <c r="U117">
        <v>1.2</v>
      </c>
      <c r="V117" t="s">
        <v>39</v>
      </c>
      <c r="W117">
        <f t="shared" si="9"/>
        <v>1</v>
      </c>
    </row>
    <row r="118" spans="1:23">
      <c r="A118" t="s">
        <v>205</v>
      </c>
      <c r="B118">
        <v>46166.767256944448</v>
      </c>
      <c r="C118">
        <v>46166.787557071759</v>
      </c>
      <c r="D118">
        <v>46166.88905380787</v>
      </c>
      <c r="E118" t="s">
        <v>75</v>
      </c>
      <c r="F118" t="s">
        <v>3</v>
      </c>
      <c r="G118" t="s">
        <v>83</v>
      </c>
      <c r="H118" t="s">
        <v>77</v>
      </c>
      <c r="I118" t="s">
        <v>89</v>
      </c>
      <c r="J118" t="s">
        <v>44</v>
      </c>
      <c r="K118" t="s">
        <v>68</v>
      </c>
      <c r="L118">
        <v>4</v>
      </c>
      <c r="M118">
        <f t="shared" si="5"/>
        <v>0.48720305546885356</v>
      </c>
      <c r="N118">
        <f t="shared" si="6"/>
        <v>2.9231247221468948</v>
      </c>
      <c r="O118">
        <f>VLOOKUP(F118,SLA_Targets!$A$2:$C$5,2,FALSE)</f>
        <v>0.5</v>
      </c>
      <c r="P118">
        <f>VLOOKUP(F118,SLA_Targets!$A$2:$C$5,3,FALSE)</f>
        <v>4</v>
      </c>
      <c r="Q118" t="str">
        <f t="shared" si="7"/>
        <v>Met</v>
      </c>
      <c r="R118" t="str">
        <f t="shared" si="8"/>
        <v>Met</v>
      </c>
      <c r="S118" t="s">
        <v>45</v>
      </c>
      <c r="T118" t="s">
        <v>33</v>
      </c>
      <c r="U118">
        <v>5.0999999999999996</v>
      </c>
      <c r="V118" t="s">
        <v>30</v>
      </c>
      <c r="W118">
        <f t="shared" si="9"/>
        <v>1</v>
      </c>
    </row>
    <row r="119" spans="1:23">
      <c r="A119" t="s">
        <v>206</v>
      </c>
      <c r="B119">
        <v>46185.052673611113</v>
      </c>
      <c r="C119">
        <v>46185.346122951392</v>
      </c>
      <c r="D119">
        <v>46186.081782743058</v>
      </c>
      <c r="E119" t="s">
        <v>75</v>
      </c>
      <c r="F119" t="s">
        <v>6</v>
      </c>
      <c r="G119" t="s">
        <v>105</v>
      </c>
      <c r="H119" t="s">
        <v>72</v>
      </c>
      <c r="I119" t="s">
        <v>92</v>
      </c>
      <c r="J119" t="s">
        <v>31</v>
      </c>
      <c r="K119" t="s">
        <v>68</v>
      </c>
      <c r="L119">
        <v>4</v>
      </c>
      <c r="M119">
        <f t="shared" si="5"/>
        <v>7.0427841666969471</v>
      </c>
      <c r="N119">
        <f t="shared" si="6"/>
        <v>24.698619166680146</v>
      </c>
      <c r="O119">
        <f>VLOOKUP(F119,SLA_Targets!$A$2:$C$5,2,FALSE)</f>
        <v>8</v>
      </c>
      <c r="P119">
        <f>VLOOKUP(F119,SLA_Targets!$A$2:$C$5,3,FALSE)</f>
        <v>48</v>
      </c>
      <c r="Q119" t="str">
        <f t="shared" si="7"/>
        <v>Met</v>
      </c>
      <c r="R119" t="str">
        <f t="shared" si="8"/>
        <v>Met</v>
      </c>
      <c r="S119" t="s">
        <v>32</v>
      </c>
      <c r="T119" t="s">
        <v>33</v>
      </c>
      <c r="U119">
        <v>7.1</v>
      </c>
      <c r="V119" t="s">
        <v>18</v>
      </c>
      <c r="W119">
        <f t="shared" si="9"/>
        <v>1</v>
      </c>
    </row>
    <row r="120" spans="1:23">
      <c r="A120" t="s">
        <v>207</v>
      </c>
      <c r="B120">
        <v>46175.598587962966</v>
      </c>
      <c r="C120">
        <v>46175.675456701392</v>
      </c>
      <c r="D120">
        <v>46176.265955752315</v>
      </c>
      <c r="E120" t="s">
        <v>70</v>
      </c>
      <c r="F120" t="s">
        <v>5</v>
      </c>
      <c r="G120" t="s">
        <v>71</v>
      </c>
      <c r="H120" t="s">
        <v>77</v>
      </c>
      <c r="I120" t="s">
        <v>73</v>
      </c>
      <c r="J120" t="s">
        <v>25</v>
      </c>
      <c r="K120" t="s">
        <v>68</v>
      </c>
      <c r="L120">
        <v>5</v>
      </c>
      <c r="M120">
        <f t="shared" si="5"/>
        <v>1.8448497222270817</v>
      </c>
      <c r="N120">
        <f t="shared" si="6"/>
        <v>16.016826944367494</v>
      </c>
      <c r="O120">
        <f>VLOOKUP(F120,SLA_Targets!$A$2:$C$5,2,FALSE)</f>
        <v>4</v>
      </c>
      <c r="P120">
        <f>VLOOKUP(F120,SLA_Targets!$A$2:$C$5,3,FALSE)</f>
        <v>24</v>
      </c>
      <c r="Q120" t="str">
        <f t="shared" si="7"/>
        <v>Met</v>
      </c>
      <c r="R120" t="str">
        <f t="shared" si="8"/>
        <v>Met</v>
      </c>
      <c r="S120" t="s">
        <v>26</v>
      </c>
      <c r="T120" t="s">
        <v>27</v>
      </c>
      <c r="U120">
        <v>6.3</v>
      </c>
      <c r="V120" t="s">
        <v>15</v>
      </c>
      <c r="W120">
        <f t="shared" si="9"/>
        <v>1</v>
      </c>
    </row>
    <row r="121" spans="1:23">
      <c r="A121" t="s">
        <v>208</v>
      </c>
      <c r="B121">
        <v>46168.459421296298</v>
      </c>
      <c r="C121">
        <v>46168.484218981481</v>
      </c>
      <c r="D121">
        <v>46168.670634745373</v>
      </c>
      <c r="E121" t="s">
        <v>75</v>
      </c>
      <c r="F121" t="s">
        <v>4</v>
      </c>
      <c r="G121" t="s">
        <v>105</v>
      </c>
      <c r="H121" t="s">
        <v>72</v>
      </c>
      <c r="I121" t="s">
        <v>89</v>
      </c>
      <c r="J121" t="s">
        <v>44</v>
      </c>
      <c r="K121" t="s">
        <v>68</v>
      </c>
      <c r="L121">
        <v>5</v>
      </c>
      <c r="M121">
        <f t="shared" si="5"/>
        <v>0.59514444437809289</v>
      </c>
      <c r="N121">
        <f t="shared" si="6"/>
        <v>5.0691227777861059</v>
      </c>
      <c r="O121">
        <f>VLOOKUP(F121,SLA_Targets!$A$2:$C$5,2,FALSE)</f>
        <v>1</v>
      </c>
      <c r="P121">
        <f>VLOOKUP(F121,SLA_Targets!$A$2:$C$5,3,FALSE)</f>
        <v>8</v>
      </c>
      <c r="Q121" t="str">
        <f t="shared" si="7"/>
        <v>Met</v>
      </c>
      <c r="R121" t="str">
        <f t="shared" si="8"/>
        <v>Met</v>
      </c>
      <c r="S121" t="s">
        <v>45</v>
      </c>
      <c r="T121" t="s">
        <v>33</v>
      </c>
      <c r="U121">
        <v>5.0999999999999996</v>
      </c>
      <c r="V121" t="s">
        <v>30</v>
      </c>
      <c r="W121">
        <f t="shared" si="9"/>
        <v>1</v>
      </c>
    </row>
    <row r="122" spans="1:23">
      <c r="A122" t="s">
        <v>209</v>
      </c>
      <c r="B122">
        <v>46183.518263888887</v>
      </c>
      <c r="C122">
        <v>46183.558792974538</v>
      </c>
      <c r="D122">
        <v>46184.059749629632</v>
      </c>
      <c r="E122" t="s">
        <v>75</v>
      </c>
      <c r="F122" t="s">
        <v>4</v>
      </c>
      <c r="G122" t="s">
        <v>76</v>
      </c>
      <c r="H122" t="s">
        <v>66</v>
      </c>
      <c r="I122" t="s">
        <v>89</v>
      </c>
      <c r="J122" t="s">
        <v>28</v>
      </c>
      <c r="K122" t="s">
        <v>68</v>
      </c>
      <c r="L122">
        <v>4</v>
      </c>
      <c r="M122">
        <f t="shared" si="5"/>
        <v>0.97269805561518297</v>
      </c>
      <c r="N122">
        <f t="shared" si="6"/>
        <v>12.995657777879387</v>
      </c>
      <c r="O122">
        <f>VLOOKUP(F122,SLA_Targets!$A$2:$C$5,2,FALSE)</f>
        <v>1</v>
      </c>
      <c r="P122">
        <f>VLOOKUP(F122,SLA_Targets!$A$2:$C$5,3,FALSE)</f>
        <v>8</v>
      </c>
      <c r="Q122" t="str">
        <f t="shared" si="7"/>
        <v>Met</v>
      </c>
      <c r="R122" t="str">
        <f t="shared" si="8"/>
        <v>Breached</v>
      </c>
      <c r="S122" t="s">
        <v>29</v>
      </c>
      <c r="T122" t="s">
        <v>27</v>
      </c>
      <c r="U122">
        <v>1.8</v>
      </c>
      <c r="V122" t="s">
        <v>30</v>
      </c>
      <c r="W122">
        <f t="shared" si="9"/>
        <v>1</v>
      </c>
    </row>
    <row r="123" spans="1:23">
      <c r="A123" t="s">
        <v>210</v>
      </c>
      <c r="B123">
        <v>46126.301574074074</v>
      </c>
      <c r="C123">
        <v>46126.546970671297</v>
      </c>
      <c r="D123">
        <v>46127.496776516207</v>
      </c>
      <c r="E123" t="s">
        <v>75</v>
      </c>
      <c r="F123" t="s">
        <v>5</v>
      </c>
      <c r="G123" t="s">
        <v>71</v>
      </c>
      <c r="H123" t="s">
        <v>106</v>
      </c>
      <c r="I123" t="s">
        <v>89</v>
      </c>
      <c r="J123" t="s">
        <v>40</v>
      </c>
      <c r="K123" t="s">
        <v>68</v>
      </c>
      <c r="L123">
        <v>4</v>
      </c>
      <c r="M123">
        <f t="shared" si="5"/>
        <v>5.8895183333661407</v>
      </c>
      <c r="N123">
        <f t="shared" si="6"/>
        <v>28.684858611202799</v>
      </c>
      <c r="O123">
        <f>VLOOKUP(F123,SLA_Targets!$A$2:$C$5,2,FALSE)</f>
        <v>4</v>
      </c>
      <c r="P123">
        <f>VLOOKUP(F123,SLA_Targets!$A$2:$C$5,3,FALSE)</f>
        <v>24</v>
      </c>
      <c r="Q123" t="str">
        <f t="shared" si="7"/>
        <v>Breached</v>
      </c>
      <c r="R123" t="str">
        <f t="shared" si="8"/>
        <v>Breached</v>
      </c>
      <c r="S123" t="s">
        <v>41</v>
      </c>
      <c r="T123" t="s">
        <v>27</v>
      </c>
      <c r="U123">
        <v>4.8</v>
      </c>
      <c r="V123" t="s">
        <v>39</v>
      </c>
      <c r="W123">
        <f t="shared" si="9"/>
        <v>1</v>
      </c>
    </row>
    <row r="124" spans="1:23">
      <c r="A124" t="s">
        <v>211</v>
      </c>
      <c r="B124">
        <v>46193.799305555556</v>
      </c>
      <c r="C124">
        <v>46193.926697326388</v>
      </c>
      <c r="E124" t="s">
        <v>132</v>
      </c>
      <c r="F124" t="s">
        <v>5</v>
      </c>
      <c r="G124" t="s">
        <v>71</v>
      </c>
      <c r="H124" t="s">
        <v>84</v>
      </c>
      <c r="I124" t="s">
        <v>73</v>
      </c>
      <c r="J124" t="s">
        <v>40</v>
      </c>
      <c r="K124" t="s">
        <v>68</v>
      </c>
      <c r="M124">
        <f t="shared" si="5"/>
        <v>3.0574024999514222</v>
      </c>
      <c r="N124" t="str">
        <f t="shared" si="6"/>
        <v/>
      </c>
      <c r="O124">
        <f>VLOOKUP(F124,SLA_Targets!$A$2:$C$5,2,FALSE)</f>
        <v>4</v>
      </c>
      <c r="P124">
        <f>VLOOKUP(F124,SLA_Targets!$A$2:$C$5,3,FALSE)</f>
        <v>24</v>
      </c>
      <c r="Q124" t="str">
        <f t="shared" si="7"/>
        <v>Met</v>
      </c>
      <c r="R124" t="str">
        <f t="shared" si="8"/>
        <v>Pending</v>
      </c>
      <c r="S124" t="s">
        <v>41</v>
      </c>
      <c r="T124" t="s">
        <v>27</v>
      </c>
      <c r="U124">
        <v>4.8</v>
      </c>
      <c r="V124" t="s">
        <v>39</v>
      </c>
      <c r="W124">
        <f t="shared" si="9"/>
        <v>1</v>
      </c>
    </row>
    <row r="125" spans="1:23">
      <c r="A125" t="s">
        <v>212</v>
      </c>
      <c r="B125">
        <v>46191.849537037036</v>
      </c>
      <c r="C125">
        <v>46191.855304178243</v>
      </c>
      <c r="D125">
        <v>46191.945501423608</v>
      </c>
      <c r="E125" t="s">
        <v>70</v>
      </c>
      <c r="F125" t="s">
        <v>3</v>
      </c>
      <c r="G125" t="s">
        <v>65</v>
      </c>
      <c r="H125" t="s">
        <v>77</v>
      </c>
      <c r="I125" t="s">
        <v>73</v>
      </c>
      <c r="J125" t="s">
        <v>23</v>
      </c>
      <c r="K125" t="s">
        <v>68</v>
      </c>
      <c r="L125">
        <v>4</v>
      </c>
      <c r="M125">
        <f t="shared" si="5"/>
        <v>0.13841138896532357</v>
      </c>
      <c r="N125">
        <f t="shared" si="6"/>
        <v>2.3031452777213417</v>
      </c>
      <c r="O125">
        <f>VLOOKUP(F125,SLA_Targets!$A$2:$C$5,2,FALSE)</f>
        <v>0.5</v>
      </c>
      <c r="P125">
        <f>VLOOKUP(F125,SLA_Targets!$A$2:$C$5,3,FALSE)</f>
        <v>4</v>
      </c>
      <c r="Q125" t="str">
        <f t="shared" si="7"/>
        <v>Met</v>
      </c>
      <c r="R125" t="str">
        <f t="shared" si="8"/>
        <v>Met</v>
      </c>
      <c r="S125" t="s">
        <v>24</v>
      </c>
      <c r="T125" t="s">
        <v>21</v>
      </c>
      <c r="U125">
        <v>3.4</v>
      </c>
      <c r="V125" t="s">
        <v>22</v>
      </c>
      <c r="W125">
        <f t="shared" si="9"/>
        <v>1</v>
      </c>
    </row>
    <row r="126" spans="1:23">
      <c r="A126" t="s">
        <v>213</v>
      </c>
      <c r="B126">
        <v>46117.730532407404</v>
      </c>
      <c r="C126">
        <v>46117.836846840277</v>
      </c>
      <c r="D126">
        <v>46118.214487974539</v>
      </c>
      <c r="E126" t="s">
        <v>70</v>
      </c>
      <c r="F126" t="s">
        <v>5</v>
      </c>
      <c r="G126" t="s">
        <v>94</v>
      </c>
      <c r="H126" t="s">
        <v>109</v>
      </c>
      <c r="I126" t="s">
        <v>92</v>
      </c>
      <c r="J126" t="s">
        <v>37</v>
      </c>
      <c r="K126" t="s">
        <v>68</v>
      </c>
      <c r="L126">
        <v>4</v>
      </c>
      <c r="M126">
        <f t="shared" si="5"/>
        <v>2.5515463889460079</v>
      </c>
      <c r="N126">
        <f t="shared" si="6"/>
        <v>11.614933611243032</v>
      </c>
      <c r="O126">
        <f>VLOOKUP(F126,SLA_Targets!$A$2:$C$5,2,FALSE)</f>
        <v>4</v>
      </c>
      <c r="P126">
        <f>VLOOKUP(F126,SLA_Targets!$A$2:$C$5,3,FALSE)</f>
        <v>24</v>
      </c>
      <c r="Q126" t="str">
        <f t="shared" si="7"/>
        <v>Met</v>
      </c>
      <c r="R126" t="str">
        <f t="shared" si="8"/>
        <v>Met</v>
      </c>
      <c r="S126" t="s">
        <v>38</v>
      </c>
      <c r="T126" t="s">
        <v>14</v>
      </c>
      <c r="U126">
        <v>1.2</v>
      </c>
      <c r="V126" t="s">
        <v>39</v>
      </c>
      <c r="W126">
        <f t="shared" si="9"/>
        <v>1</v>
      </c>
    </row>
    <row r="127" spans="1:23">
      <c r="A127" t="s">
        <v>214</v>
      </c>
      <c r="B127">
        <v>46156.881967592592</v>
      </c>
      <c r="C127">
        <v>46157.038211678242</v>
      </c>
      <c r="D127">
        <v>46158.013309016205</v>
      </c>
      <c r="E127" t="s">
        <v>75</v>
      </c>
      <c r="F127" t="s">
        <v>6</v>
      </c>
      <c r="G127" t="s">
        <v>98</v>
      </c>
      <c r="H127" t="s">
        <v>80</v>
      </c>
      <c r="I127" t="s">
        <v>89</v>
      </c>
      <c r="J127" t="s">
        <v>16</v>
      </c>
      <c r="K127" t="s">
        <v>85</v>
      </c>
      <c r="L127">
        <v>5</v>
      </c>
      <c r="M127">
        <f t="shared" si="5"/>
        <v>3.7498580556130037</v>
      </c>
      <c r="N127">
        <f t="shared" si="6"/>
        <v>27.152194166730624</v>
      </c>
      <c r="O127">
        <f>VLOOKUP(F127,SLA_Targets!$A$2:$C$5,2,FALSE)</f>
        <v>8</v>
      </c>
      <c r="P127">
        <f>VLOOKUP(F127,SLA_Targets!$A$2:$C$5,3,FALSE)</f>
        <v>48</v>
      </c>
      <c r="Q127" t="str">
        <f t="shared" si="7"/>
        <v>Met</v>
      </c>
      <c r="R127" t="str">
        <f t="shared" si="8"/>
        <v>Met</v>
      </c>
      <c r="S127" t="s">
        <v>17</v>
      </c>
      <c r="T127" t="s">
        <v>14</v>
      </c>
      <c r="U127">
        <v>2.1</v>
      </c>
      <c r="V127" t="s">
        <v>18</v>
      </c>
      <c r="W127">
        <f t="shared" si="9"/>
        <v>1</v>
      </c>
    </row>
    <row r="128" spans="1:23">
      <c r="A128" t="s">
        <v>215</v>
      </c>
      <c r="B128">
        <v>46115.540706018517</v>
      </c>
      <c r="C128">
        <v>46115.568696736111</v>
      </c>
      <c r="D128">
        <v>46115.763228564814</v>
      </c>
      <c r="E128" t="s">
        <v>70</v>
      </c>
      <c r="F128" t="s">
        <v>4</v>
      </c>
      <c r="G128" t="s">
        <v>83</v>
      </c>
      <c r="H128" t="s">
        <v>72</v>
      </c>
      <c r="I128" t="s">
        <v>73</v>
      </c>
      <c r="J128" t="s">
        <v>44</v>
      </c>
      <c r="K128" t="s">
        <v>85</v>
      </c>
      <c r="L128">
        <v>3</v>
      </c>
      <c r="M128">
        <f t="shared" si="5"/>
        <v>0.67177722224732861</v>
      </c>
      <c r="N128">
        <f t="shared" si="6"/>
        <v>5.340541111130733</v>
      </c>
      <c r="O128">
        <f>VLOOKUP(F128,SLA_Targets!$A$2:$C$5,2,FALSE)</f>
        <v>1</v>
      </c>
      <c r="P128">
        <f>VLOOKUP(F128,SLA_Targets!$A$2:$C$5,3,FALSE)</f>
        <v>8</v>
      </c>
      <c r="Q128" t="str">
        <f t="shared" si="7"/>
        <v>Met</v>
      </c>
      <c r="R128" t="str">
        <f t="shared" si="8"/>
        <v>Met</v>
      </c>
      <c r="S128" t="s">
        <v>45</v>
      </c>
      <c r="T128" t="s">
        <v>33</v>
      </c>
      <c r="U128">
        <v>5.0999999999999996</v>
      </c>
      <c r="V128" t="s">
        <v>30</v>
      </c>
      <c r="W128">
        <f t="shared" si="9"/>
        <v>1</v>
      </c>
    </row>
    <row r="129" spans="1:23">
      <c r="A129" t="s">
        <v>216</v>
      </c>
      <c r="B129">
        <v>46199.13758101852</v>
      </c>
      <c r="C129">
        <v>46199.364818391201</v>
      </c>
      <c r="D129">
        <v>46199.551196597225</v>
      </c>
      <c r="E129" t="s">
        <v>70</v>
      </c>
      <c r="F129" t="s">
        <v>5</v>
      </c>
      <c r="G129" t="s">
        <v>98</v>
      </c>
      <c r="H129" t="s">
        <v>80</v>
      </c>
      <c r="I129" t="s">
        <v>73</v>
      </c>
      <c r="J129" t="s">
        <v>12</v>
      </c>
      <c r="K129" t="s">
        <v>85</v>
      </c>
      <c r="L129">
        <v>2</v>
      </c>
      <c r="M129">
        <f t="shared" si="5"/>
        <v>5.4536969443433918</v>
      </c>
      <c r="N129">
        <f t="shared" si="6"/>
        <v>9.9267738889320754</v>
      </c>
      <c r="O129">
        <f>VLOOKUP(F129,SLA_Targets!$A$2:$C$5,2,FALSE)</f>
        <v>4</v>
      </c>
      <c r="P129">
        <f>VLOOKUP(F129,SLA_Targets!$A$2:$C$5,3,FALSE)</f>
        <v>24</v>
      </c>
      <c r="Q129" t="str">
        <f t="shared" si="7"/>
        <v>Breached</v>
      </c>
      <c r="R129" t="str">
        <f t="shared" si="8"/>
        <v>Met</v>
      </c>
      <c r="S129" t="s">
        <v>13</v>
      </c>
      <c r="T129" t="s">
        <v>14</v>
      </c>
      <c r="U129">
        <v>4.2</v>
      </c>
      <c r="V129" t="s">
        <v>15</v>
      </c>
      <c r="W129">
        <f t="shared" si="9"/>
        <v>1</v>
      </c>
    </row>
    <row r="130" spans="1:23">
      <c r="A130" t="s">
        <v>217</v>
      </c>
      <c r="B130">
        <v>46141.418020833335</v>
      </c>
      <c r="C130">
        <v>46141.809004733797</v>
      </c>
      <c r="D130">
        <v>46142.889099814813</v>
      </c>
      <c r="E130" t="s">
        <v>75</v>
      </c>
      <c r="F130" t="s">
        <v>6</v>
      </c>
      <c r="G130" t="s">
        <v>79</v>
      </c>
      <c r="H130" t="s">
        <v>106</v>
      </c>
      <c r="I130" t="s">
        <v>89</v>
      </c>
      <c r="J130" t="s">
        <v>37</v>
      </c>
      <c r="K130" t="s">
        <v>68</v>
      </c>
      <c r="L130">
        <v>5</v>
      </c>
      <c r="M130">
        <f t="shared" ref="M130:M193" si="10">IF(OR(B130="",C130=""),"",24*(C130-B130))</f>
        <v>9.3836136111058295</v>
      </c>
      <c r="N130">
        <f t="shared" ref="N130:N193" si="11">IF(OR(B130="",D130=""),"",24*(D130-B130))</f>
        <v>35.305895555473398</v>
      </c>
      <c r="O130">
        <f>VLOOKUP(F130,SLA_Targets!$A$2:$C$5,2,FALSE)</f>
        <v>8</v>
      </c>
      <c r="P130">
        <f>VLOOKUP(F130,SLA_Targets!$A$2:$C$5,3,FALSE)</f>
        <v>48</v>
      </c>
      <c r="Q130" t="str">
        <f t="shared" ref="Q130:Q193" si="12">IF(M130="","Pending",IF(M130&lt;=O130,"Met","Breached"))</f>
        <v>Breached</v>
      </c>
      <c r="R130" t="str">
        <f t="shared" ref="R130:R193" si="13">IF(N130="","Pending",IF(N130&lt;=P130,"Met","Breached"))</f>
        <v>Met</v>
      </c>
      <c r="S130" t="s">
        <v>38</v>
      </c>
      <c r="T130" t="s">
        <v>14</v>
      </c>
      <c r="U130">
        <v>1.2</v>
      </c>
      <c r="V130" t="s">
        <v>39</v>
      </c>
      <c r="W130">
        <f t="shared" ref="W130:W193" si="14">COUNTIF($A$2:$A$321,A130)</f>
        <v>1</v>
      </c>
    </row>
    <row r="131" spans="1:23">
      <c r="A131" t="s">
        <v>218</v>
      </c>
      <c r="B131">
        <v>46198.745069444441</v>
      </c>
      <c r="C131">
        <v>46198.768216747689</v>
      </c>
      <c r="E131" t="s">
        <v>132</v>
      </c>
      <c r="F131" t="s">
        <v>3</v>
      </c>
      <c r="G131" t="s">
        <v>105</v>
      </c>
      <c r="H131" t="s">
        <v>72</v>
      </c>
      <c r="I131" t="s">
        <v>89</v>
      </c>
      <c r="J131" t="s">
        <v>44</v>
      </c>
      <c r="K131" t="s">
        <v>68</v>
      </c>
      <c r="M131">
        <f t="shared" si="10"/>
        <v>0.55553527793381363</v>
      </c>
      <c r="N131" t="str">
        <f t="shared" si="11"/>
        <v/>
      </c>
      <c r="O131">
        <f>VLOOKUP(F131,SLA_Targets!$A$2:$C$5,2,FALSE)</f>
        <v>0.5</v>
      </c>
      <c r="P131">
        <f>VLOOKUP(F131,SLA_Targets!$A$2:$C$5,3,FALSE)</f>
        <v>4</v>
      </c>
      <c r="Q131" t="str">
        <f t="shared" si="12"/>
        <v>Breached</v>
      </c>
      <c r="R131" t="str">
        <f t="shared" si="13"/>
        <v>Pending</v>
      </c>
      <c r="S131" t="s">
        <v>45</v>
      </c>
      <c r="T131" t="s">
        <v>33</v>
      </c>
      <c r="U131">
        <v>5.0999999999999996</v>
      </c>
      <c r="V131" t="s">
        <v>30</v>
      </c>
      <c r="W131">
        <f t="shared" si="14"/>
        <v>1</v>
      </c>
    </row>
    <row r="132" spans="1:23">
      <c r="A132" t="s">
        <v>219</v>
      </c>
      <c r="B132">
        <v>46131.186203703706</v>
      </c>
      <c r="C132">
        <v>46131.250620127314</v>
      </c>
      <c r="D132">
        <v>46131.33319730324</v>
      </c>
      <c r="E132" t="s">
        <v>75</v>
      </c>
      <c r="F132" t="s">
        <v>4</v>
      </c>
      <c r="G132" t="s">
        <v>105</v>
      </c>
      <c r="H132" t="s">
        <v>88</v>
      </c>
      <c r="I132" t="s">
        <v>67</v>
      </c>
      <c r="J132" t="s">
        <v>31</v>
      </c>
      <c r="K132" t="s">
        <v>68</v>
      </c>
      <c r="L132">
        <v>4</v>
      </c>
      <c r="M132">
        <f t="shared" si="10"/>
        <v>1.5459941665758379</v>
      </c>
      <c r="N132">
        <f t="shared" si="11"/>
        <v>3.5278463888098486</v>
      </c>
      <c r="O132">
        <f>VLOOKUP(F132,SLA_Targets!$A$2:$C$5,2,FALSE)</f>
        <v>1</v>
      </c>
      <c r="P132">
        <f>VLOOKUP(F132,SLA_Targets!$A$2:$C$5,3,FALSE)</f>
        <v>8</v>
      </c>
      <c r="Q132" t="str">
        <f t="shared" si="12"/>
        <v>Breached</v>
      </c>
      <c r="R132" t="str">
        <f t="shared" si="13"/>
        <v>Met</v>
      </c>
      <c r="S132" t="s">
        <v>32</v>
      </c>
      <c r="T132" t="s">
        <v>33</v>
      </c>
      <c r="U132">
        <v>7.1</v>
      </c>
      <c r="V132" t="s">
        <v>18</v>
      </c>
      <c r="W132">
        <f t="shared" si="14"/>
        <v>1</v>
      </c>
    </row>
    <row r="133" spans="1:23">
      <c r="A133" t="s">
        <v>220</v>
      </c>
      <c r="B133">
        <v>46195.581817129627</v>
      </c>
      <c r="C133">
        <v>46195.69801803241</v>
      </c>
      <c r="D133">
        <v>46196.435390555554</v>
      </c>
      <c r="E133" t="s">
        <v>75</v>
      </c>
      <c r="F133" t="s">
        <v>5</v>
      </c>
      <c r="G133" t="s">
        <v>94</v>
      </c>
      <c r="H133" t="s">
        <v>109</v>
      </c>
      <c r="I133" t="s">
        <v>73</v>
      </c>
      <c r="J133" t="s">
        <v>12</v>
      </c>
      <c r="K133" t="s">
        <v>68</v>
      </c>
      <c r="L133">
        <v>4</v>
      </c>
      <c r="M133">
        <f t="shared" si="10"/>
        <v>2.7888216667925008</v>
      </c>
      <c r="N133">
        <f t="shared" si="11"/>
        <v>20.485762222262565</v>
      </c>
      <c r="O133">
        <f>VLOOKUP(F133,SLA_Targets!$A$2:$C$5,2,FALSE)</f>
        <v>4</v>
      </c>
      <c r="P133">
        <f>VLOOKUP(F133,SLA_Targets!$A$2:$C$5,3,FALSE)</f>
        <v>24</v>
      </c>
      <c r="Q133" t="str">
        <f t="shared" si="12"/>
        <v>Met</v>
      </c>
      <c r="R133" t="str">
        <f t="shared" si="13"/>
        <v>Met</v>
      </c>
      <c r="S133" t="s">
        <v>13</v>
      </c>
      <c r="T133" t="s">
        <v>14</v>
      </c>
      <c r="U133">
        <v>4.2</v>
      </c>
      <c r="V133" t="s">
        <v>15</v>
      </c>
      <c r="W133">
        <f t="shared" si="14"/>
        <v>1</v>
      </c>
    </row>
    <row r="134" spans="1:23">
      <c r="A134" t="s">
        <v>221</v>
      </c>
      <c r="B134">
        <v>46133.897824074076</v>
      </c>
      <c r="C134">
        <v>46134.262929351855</v>
      </c>
      <c r="D134">
        <v>46135.007778460647</v>
      </c>
      <c r="E134" t="s">
        <v>75</v>
      </c>
      <c r="F134" t="s">
        <v>6</v>
      </c>
      <c r="G134" t="s">
        <v>83</v>
      </c>
      <c r="H134" t="s">
        <v>77</v>
      </c>
      <c r="I134" t="s">
        <v>89</v>
      </c>
      <c r="J134" t="s">
        <v>31</v>
      </c>
      <c r="K134" t="s">
        <v>68</v>
      </c>
      <c r="L134">
        <v>5</v>
      </c>
      <c r="M134">
        <f t="shared" si="10"/>
        <v>8.7625266666873358</v>
      </c>
      <c r="N134">
        <f t="shared" si="11"/>
        <v>26.638905277708545</v>
      </c>
      <c r="O134">
        <f>VLOOKUP(F134,SLA_Targets!$A$2:$C$5,2,FALSE)</f>
        <v>8</v>
      </c>
      <c r="P134">
        <f>VLOOKUP(F134,SLA_Targets!$A$2:$C$5,3,FALSE)</f>
        <v>48</v>
      </c>
      <c r="Q134" t="str">
        <f t="shared" si="12"/>
        <v>Breached</v>
      </c>
      <c r="R134" t="str">
        <f t="shared" si="13"/>
        <v>Met</v>
      </c>
      <c r="S134" t="s">
        <v>32</v>
      </c>
      <c r="T134" t="s">
        <v>33</v>
      </c>
      <c r="U134">
        <v>7.1</v>
      </c>
      <c r="V134" t="s">
        <v>18</v>
      </c>
      <c r="W134">
        <f t="shared" si="14"/>
        <v>1</v>
      </c>
    </row>
    <row r="135" spans="1:23">
      <c r="A135" t="s">
        <v>222</v>
      </c>
      <c r="B135">
        <v>46143.27815972222</v>
      </c>
      <c r="C135">
        <v>46143.567947442127</v>
      </c>
      <c r="D135">
        <v>46143.957110300929</v>
      </c>
      <c r="E135" t="s">
        <v>75</v>
      </c>
      <c r="F135" t="s">
        <v>5</v>
      </c>
      <c r="G135" t="s">
        <v>79</v>
      </c>
      <c r="H135" t="s">
        <v>77</v>
      </c>
      <c r="I135" t="s">
        <v>67</v>
      </c>
      <c r="J135" t="s">
        <v>16</v>
      </c>
      <c r="K135" t="s">
        <v>68</v>
      </c>
      <c r="L135">
        <v>4</v>
      </c>
      <c r="M135">
        <f t="shared" si="10"/>
        <v>6.9549052777583711</v>
      </c>
      <c r="N135">
        <f t="shared" si="11"/>
        <v>16.294813889020588</v>
      </c>
      <c r="O135">
        <f>VLOOKUP(F135,SLA_Targets!$A$2:$C$5,2,FALSE)</f>
        <v>4</v>
      </c>
      <c r="P135">
        <f>VLOOKUP(F135,SLA_Targets!$A$2:$C$5,3,FALSE)</f>
        <v>24</v>
      </c>
      <c r="Q135" t="str">
        <f t="shared" si="12"/>
        <v>Breached</v>
      </c>
      <c r="R135" t="str">
        <f t="shared" si="13"/>
        <v>Met</v>
      </c>
      <c r="S135" t="s">
        <v>17</v>
      </c>
      <c r="T135" t="s">
        <v>14</v>
      </c>
      <c r="U135">
        <v>2.1</v>
      </c>
      <c r="V135" t="s">
        <v>18</v>
      </c>
      <c r="W135">
        <f t="shared" si="14"/>
        <v>1</v>
      </c>
    </row>
    <row r="136" spans="1:23">
      <c r="A136" t="s">
        <v>223</v>
      </c>
      <c r="B136">
        <v>46167.054548611108</v>
      </c>
      <c r="C136">
        <v>46167.084313842592</v>
      </c>
      <c r="D136">
        <v>46167.28444369213</v>
      </c>
      <c r="E136" t="s">
        <v>75</v>
      </c>
      <c r="F136" t="s">
        <v>4</v>
      </c>
      <c r="G136" t="s">
        <v>83</v>
      </c>
      <c r="H136" t="s">
        <v>88</v>
      </c>
      <c r="I136" t="s">
        <v>73</v>
      </c>
      <c r="J136" t="s">
        <v>34</v>
      </c>
      <c r="K136" t="s">
        <v>68</v>
      </c>
      <c r="L136">
        <v>4</v>
      </c>
      <c r="M136">
        <f t="shared" si="10"/>
        <v>0.71436555561376736</v>
      </c>
      <c r="N136">
        <f t="shared" si="11"/>
        <v>5.5174819445237517</v>
      </c>
      <c r="O136">
        <f>VLOOKUP(F136,SLA_Targets!$A$2:$C$5,2,FALSE)</f>
        <v>1</v>
      </c>
      <c r="P136">
        <f>VLOOKUP(F136,SLA_Targets!$A$2:$C$5,3,FALSE)</f>
        <v>8</v>
      </c>
      <c r="Q136" t="str">
        <f t="shared" si="12"/>
        <v>Met</v>
      </c>
      <c r="R136" t="str">
        <f t="shared" si="13"/>
        <v>Met</v>
      </c>
      <c r="S136" t="s">
        <v>35</v>
      </c>
      <c r="T136" t="s">
        <v>33</v>
      </c>
      <c r="U136">
        <v>3</v>
      </c>
      <c r="V136" t="s">
        <v>36</v>
      </c>
      <c r="W136">
        <f t="shared" si="14"/>
        <v>1</v>
      </c>
    </row>
    <row r="137" spans="1:23">
      <c r="A137" t="s">
        <v>224</v>
      </c>
      <c r="B137">
        <v>46160.773726851854</v>
      </c>
      <c r="C137">
        <v>46160.817044895834</v>
      </c>
      <c r="D137">
        <v>46161.187514189813</v>
      </c>
      <c r="E137" t="s">
        <v>70</v>
      </c>
      <c r="F137" t="s">
        <v>4</v>
      </c>
      <c r="G137" t="s">
        <v>83</v>
      </c>
      <c r="H137" t="s">
        <v>77</v>
      </c>
      <c r="I137" t="s">
        <v>67</v>
      </c>
      <c r="J137" t="s">
        <v>34</v>
      </c>
      <c r="K137" t="s">
        <v>68</v>
      </c>
      <c r="L137">
        <v>3</v>
      </c>
      <c r="M137">
        <f t="shared" si="10"/>
        <v>1.0396330555086024</v>
      </c>
      <c r="N137">
        <f t="shared" si="11"/>
        <v>9.9308961110073142</v>
      </c>
      <c r="O137">
        <f>VLOOKUP(F137,SLA_Targets!$A$2:$C$5,2,FALSE)</f>
        <v>1</v>
      </c>
      <c r="P137">
        <f>VLOOKUP(F137,SLA_Targets!$A$2:$C$5,3,FALSE)</f>
        <v>8</v>
      </c>
      <c r="Q137" t="str">
        <f t="shared" si="12"/>
        <v>Breached</v>
      </c>
      <c r="R137" t="str">
        <f t="shared" si="13"/>
        <v>Breached</v>
      </c>
      <c r="S137" t="s">
        <v>35</v>
      </c>
      <c r="T137" t="s">
        <v>33</v>
      </c>
      <c r="U137">
        <v>3</v>
      </c>
      <c r="V137" t="s">
        <v>36</v>
      </c>
      <c r="W137">
        <f t="shared" si="14"/>
        <v>1</v>
      </c>
    </row>
    <row r="138" spans="1:23">
      <c r="A138" t="s">
        <v>225</v>
      </c>
      <c r="B138">
        <v>46120.550092592595</v>
      </c>
      <c r="C138">
        <v>46120.610052615739</v>
      </c>
      <c r="D138">
        <v>46121.133229780091</v>
      </c>
      <c r="E138" t="s">
        <v>75</v>
      </c>
      <c r="F138" t="s">
        <v>5</v>
      </c>
      <c r="G138" t="s">
        <v>83</v>
      </c>
      <c r="H138" t="s">
        <v>72</v>
      </c>
      <c r="I138" t="s">
        <v>67</v>
      </c>
      <c r="J138" t="s">
        <v>31</v>
      </c>
      <c r="K138" t="s">
        <v>68</v>
      </c>
      <c r="L138">
        <v>4</v>
      </c>
      <c r="M138">
        <f t="shared" si="10"/>
        <v>1.4390405554440804</v>
      </c>
      <c r="N138">
        <f t="shared" si="11"/>
        <v>13.995292499894276</v>
      </c>
      <c r="O138">
        <f>VLOOKUP(F138,SLA_Targets!$A$2:$C$5,2,FALSE)</f>
        <v>4</v>
      </c>
      <c r="P138">
        <f>VLOOKUP(F138,SLA_Targets!$A$2:$C$5,3,FALSE)</f>
        <v>24</v>
      </c>
      <c r="Q138" t="str">
        <f t="shared" si="12"/>
        <v>Met</v>
      </c>
      <c r="R138" t="str">
        <f t="shared" si="13"/>
        <v>Met</v>
      </c>
      <c r="S138" t="s">
        <v>32</v>
      </c>
      <c r="T138" t="s">
        <v>33</v>
      </c>
      <c r="U138">
        <v>7.1</v>
      </c>
      <c r="V138" t="s">
        <v>18</v>
      </c>
      <c r="W138">
        <f t="shared" si="14"/>
        <v>1</v>
      </c>
    </row>
    <row r="139" spans="1:23">
      <c r="A139" t="s">
        <v>226</v>
      </c>
      <c r="B139">
        <v>46160.699293981481</v>
      </c>
      <c r="C139">
        <v>46160.746150868057</v>
      </c>
      <c r="D139">
        <v>46160.794434328702</v>
      </c>
      <c r="E139" t="s">
        <v>75</v>
      </c>
      <c r="F139" t="s">
        <v>4</v>
      </c>
      <c r="G139" t="s">
        <v>65</v>
      </c>
      <c r="H139" t="s">
        <v>109</v>
      </c>
      <c r="I139" t="s">
        <v>89</v>
      </c>
      <c r="J139" t="s">
        <v>23</v>
      </c>
      <c r="K139" t="s">
        <v>68</v>
      </c>
      <c r="L139">
        <v>3</v>
      </c>
      <c r="M139">
        <f t="shared" si="10"/>
        <v>1.1245652778306976</v>
      </c>
      <c r="N139">
        <f t="shared" si="11"/>
        <v>2.2833683333010413</v>
      </c>
      <c r="O139">
        <f>VLOOKUP(F139,SLA_Targets!$A$2:$C$5,2,FALSE)</f>
        <v>1</v>
      </c>
      <c r="P139">
        <f>VLOOKUP(F139,SLA_Targets!$A$2:$C$5,3,FALSE)</f>
        <v>8</v>
      </c>
      <c r="Q139" t="str">
        <f t="shared" si="12"/>
        <v>Breached</v>
      </c>
      <c r="R139" t="str">
        <f t="shared" si="13"/>
        <v>Met</v>
      </c>
      <c r="S139" t="s">
        <v>24</v>
      </c>
      <c r="T139" t="s">
        <v>21</v>
      </c>
      <c r="U139">
        <v>3.4</v>
      </c>
      <c r="V139" t="s">
        <v>22</v>
      </c>
      <c r="W139">
        <f t="shared" si="14"/>
        <v>1</v>
      </c>
    </row>
    <row r="140" spans="1:23">
      <c r="A140" t="s">
        <v>227</v>
      </c>
      <c r="B140">
        <v>46168.18959490741</v>
      </c>
      <c r="C140">
        <v>46168.2972090162</v>
      </c>
      <c r="D140">
        <v>46168.641490787035</v>
      </c>
      <c r="E140" t="s">
        <v>70</v>
      </c>
      <c r="F140" t="s">
        <v>5</v>
      </c>
      <c r="G140" t="s">
        <v>79</v>
      </c>
      <c r="H140" t="s">
        <v>80</v>
      </c>
      <c r="I140" t="s">
        <v>73</v>
      </c>
      <c r="J140" t="s">
        <v>16</v>
      </c>
      <c r="K140" t="s">
        <v>68</v>
      </c>
      <c r="L140">
        <v>5</v>
      </c>
      <c r="M140">
        <f t="shared" si="10"/>
        <v>2.5827386109740473</v>
      </c>
      <c r="N140">
        <f t="shared" si="11"/>
        <v>10.845501111005433</v>
      </c>
      <c r="O140">
        <f>VLOOKUP(F140,SLA_Targets!$A$2:$C$5,2,FALSE)</f>
        <v>4</v>
      </c>
      <c r="P140">
        <f>VLOOKUP(F140,SLA_Targets!$A$2:$C$5,3,FALSE)</f>
        <v>24</v>
      </c>
      <c r="Q140" t="str">
        <f t="shared" si="12"/>
        <v>Met</v>
      </c>
      <c r="R140" t="str">
        <f t="shared" si="13"/>
        <v>Met</v>
      </c>
      <c r="S140" t="s">
        <v>17</v>
      </c>
      <c r="T140" t="s">
        <v>14</v>
      </c>
      <c r="U140">
        <v>2.1</v>
      </c>
      <c r="V140" t="s">
        <v>18</v>
      </c>
      <c r="W140">
        <f t="shared" si="14"/>
        <v>1</v>
      </c>
    </row>
    <row r="141" spans="1:23">
      <c r="A141" t="s">
        <v>228</v>
      </c>
      <c r="B141">
        <v>46196.633009259262</v>
      </c>
      <c r="C141">
        <v>46196.816910578702</v>
      </c>
      <c r="D141">
        <v>46197.648671284725</v>
      </c>
      <c r="E141" t="s">
        <v>75</v>
      </c>
      <c r="F141" t="s">
        <v>5</v>
      </c>
      <c r="G141" t="s">
        <v>83</v>
      </c>
      <c r="H141" t="s">
        <v>66</v>
      </c>
      <c r="I141" t="s">
        <v>92</v>
      </c>
      <c r="J141" t="s">
        <v>31</v>
      </c>
      <c r="K141" t="s">
        <v>68</v>
      </c>
      <c r="L141">
        <v>4</v>
      </c>
      <c r="M141">
        <f t="shared" si="10"/>
        <v>4.4136316665681079</v>
      </c>
      <c r="N141">
        <f t="shared" si="11"/>
        <v>24.375888611131813</v>
      </c>
      <c r="O141">
        <f>VLOOKUP(F141,SLA_Targets!$A$2:$C$5,2,FALSE)</f>
        <v>4</v>
      </c>
      <c r="P141">
        <f>VLOOKUP(F141,SLA_Targets!$A$2:$C$5,3,FALSE)</f>
        <v>24</v>
      </c>
      <c r="Q141" t="str">
        <f t="shared" si="12"/>
        <v>Breached</v>
      </c>
      <c r="R141" t="str">
        <f t="shared" si="13"/>
        <v>Breached</v>
      </c>
      <c r="S141" t="s">
        <v>32</v>
      </c>
      <c r="T141" t="s">
        <v>33</v>
      </c>
      <c r="U141">
        <v>7.1</v>
      </c>
      <c r="V141" t="s">
        <v>18</v>
      </c>
      <c r="W141">
        <f t="shared" si="14"/>
        <v>1</v>
      </c>
    </row>
    <row r="142" spans="1:23">
      <c r="A142" t="s">
        <v>229</v>
      </c>
      <c r="B142">
        <v>46133.446388888886</v>
      </c>
      <c r="C142">
        <v>46133.576251701386</v>
      </c>
      <c r="D142">
        <v>46135.441404976853</v>
      </c>
      <c r="E142" t="s">
        <v>75</v>
      </c>
      <c r="F142" t="s">
        <v>5</v>
      </c>
      <c r="G142" t="s">
        <v>76</v>
      </c>
      <c r="H142" t="s">
        <v>72</v>
      </c>
      <c r="I142" t="s">
        <v>73</v>
      </c>
      <c r="J142" t="s">
        <v>40</v>
      </c>
      <c r="K142" t="s">
        <v>68</v>
      </c>
      <c r="L142">
        <v>4</v>
      </c>
      <c r="M142">
        <f t="shared" si="10"/>
        <v>3.1167075000121258</v>
      </c>
      <c r="N142">
        <f t="shared" si="11"/>
        <v>47.8803861112101</v>
      </c>
      <c r="O142">
        <f>VLOOKUP(F142,SLA_Targets!$A$2:$C$5,2,FALSE)</f>
        <v>4</v>
      </c>
      <c r="P142">
        <f>VLOOKUP(F142,SLA_Targets!$A$2:$C$5,3,FALSE)</f>
        <v>24</v>
      </c>
      <c r="Q142" t="str">
        <f t="shared" si="12"/>
        <v>Met</v>
      </c>
      <c r="R142" t="str">
        <f t="shared" si="13"/>
        <v>Breached</v>
      </c>
      <c r="S142" t="s">
        <v>41</v>
      </c>
      <c r="T142" t="s">
        <v>27</v>
      </c>
      <c r="U142">
        <v>4.8</v>
      </c>
      <c r="V142" t="s">
        <v>39</v>
      </c>
      <c r="W142">
        <f t="shared" si="14"/>
        <v>1</v>
      </c>
    </row>
    <row r="143" spans="1:23">
      <c r="A143" t="s">
        <v>230</v>
      </c>
      <c r="B143">
        <v>46190.083078703705</v>
      </c>
      <c r="C143">
        <v>46190.197286574075</v>
      </c>
      <c r="D143">
        <v>46191.254883576388</v>
      </c>
      <c r="E143" t="s">
        <v>70</v>
      </c>
      <c r="F143" t="s">
        <v>5</v>
      </c>
      <c r="G143" t="s">
        <v>83</v>
      </c>
      <c r="H143" t="s">
        <v>106</v>
      </c>
      <c r="I143" t="s">
        <v>73</v>
      </c>
      <c r="J143" t="s">
        <v>44</v>
      </c>
      <c r="K143" t="s">
        <v>68</v>
      </c>
      <c r="L143">
        <v>3</v>
      </c>
      <c r="M143">
        <f t="shared" si="10"/>
        <v>2.7409888888942078</v>
      </c>
      <c r="N143">
        <f t="shared" si="11"/>
        <v>28.123316944402177</v>
      </c>
      <c r="O143">
        <f>VLOOKUP(F143,SLA_Targets!$A$2:$C$5,2,FALSE)</f>
        <v>4</v>
      </c>
      <c r="P143">
        <f>VLOOKUP(F143,SLA_Targets!$A$2:$C$5,3,FALSE)</f>
        <v>24</v>
      </c>
      <c r="Q143" t="str">
        <f t="shared" si="12"/>
        <v>Met</v>
      </c>
      <c r="R143" t="str">
        <f t="shared" si="13"/>
        <v>Breached</v>
      </c>
      <c r="S143" t="s">
        <v>45</v>
      </c>
      <c r="T143" t="s">
        <v>33</v>
      </c>
      <c r="U143">
        <v>5.0999999999999996</v>
      </c>
      <c r="V143" t="s">
        <v>30</v>
      </c>
      <c r="W143">
        <f t="shared" si="14"/>
        <v>1</v>
      </c>
    </row>
    <row r="144" spans="1:23">
      <c r="A144" t="s">
        <v>231</v>
      </c>
      <c r="B144">
        <v>46157.077407407407</v>
      </c>
      <c r="C144">
        <v>46157.130076030095</v>
      </c>
      <c r="D144">
        <v>46157.700653726853</v>
      </c>
      <c r="E144" t="s">
        <v>75</v>
      </c>
      <c r="F144" t="s">
        <v>4</v>
      </c>
      <c r="G144" t="s">
        <v>71</v>
      </c>
      <c r="H144" t="s">
        <v>72</v>
      </c>
      <c r="I144" t="s">
        <v>89</v>
      </c>
      <c r="J144" t="s">
        <v>28</v>
      </c>
      <c r="K144" t="s">
        <v>85</v>
      </c>
      <c r="L144">
        <v>2</v>
      </c>
      <c r="M144">
        <f t="shared" si="10"/>
        <v>1.2640469445032068</v>
      </c>
      <c r="N144">
        <f t="shared" si="11"/>
        <v>14.957911666715518</v>
      </c>
      <c r="O144">
        <f>VLOOKUP(F144,SLA_Targets!$A$2:$C$5,2,FALSE)</f>
        <v>1</v>
      </c>
      <c r="P144">
        <f>VLOOKUP(F144,SLA_Targets!$A$2:$C$5,3,FALSE)</f>
        <v>8</v>
      </c>
      <c r="Q144" t="str">
        <f t="shared" si="12"/>
        <v>Breached</v>
      </c>
      <c r="R144" t="str">
        <f t="shared" si="13"/>
        <v>Breached</v>
      </c>
      <c r="S144" t="s">
        <v>29</v>
      </c>
      <c r="T144" t="s">
        <v>27</v>
      </c>
      <c r="U144">
        <v>1.8</v>
      </c>
      <c r="V144" t="s">
        <v>30</v>
      </c>
      <c r="W144">
        <f t="shared" si="14"/>
        <v>1</v>
      </c>
    </row>
    <row r="145" spans="1:23">
      <c r="A145" t="s">
        <v>232</v>
      </c>
      <c r="B145">
        <v>46182.430324074077</v>
      </c>
      <c r="C145">
        <v>46182.440552835651</v>
      </c>
      <c r="D145">
        <v>46182.508506782404</v>
      </c>
      <c r="E145" t="s">
        <v>75</v>
      </c>
      <c r="F145" t="s">
        <v>3</v>
      </c>
      <c r="G145" t="s">
        <v>105</v>
      </c>
      <c r="H145" t="s">
        <v>106</v>
      </c>
      <c r="I145" t="s">
        <v>73</v>
      </c>
      <c r="J145" t="s">
        <v>34</v>
      </c>
      <c r="K145" t="s">
        <v>68</v>
      </c>
      <c r="L145">
        <v>5</v>
      </c>
      <c r="M145">
        <f t="shared" si="10"/>
        <v>0.24549027776811272</v>
      </c>
      <c r="N145">
        <f t="shared" si="11"/>
        <v>1.8763849998358637</v>
      </c>
      <c r="O145">
        <f>VLOOKUP(F145,SLA_Targets!$A$2:$C$5,2,FALSE)</f>
        <v>0.5</v>
      </c>
      <c r="P145">
        <f>VLOOKUP(F145,SLA_Targets!$A$2:$C$5,3,FALSE)</f>
        <v>4</v>
      </c>
      <c r="Q145" t="str">
        <f t="shared" si="12"/>
        <v>Met</v>
      </c>
      <c r="R145" t="str">
        <f t="shared" si="13"/>
        <v>Met</v>
      </c>
      <c r="S145" t="s">
        <v>35</v>
      </c>
      <c r="T145" t="s">
        <v>33</v>
      </c>
      <c r="U145">
        <v>3</v>
      </c>
      <c r="V145" t="s">
        <v>36</v>
      </c>
      <c r="W145">
        <f t="shared" si="14"/>
        <v>1</v>
      </c>
    </row>
    <row r="146" spans="1:23">
      <c r="A146" t="s">
        <v>233</v>
      </c>
      <c r="B146">
        <v>46122.368969907409</v>
      </c>
      <c r="C146">
        <v>46122.700440289351</v>
      </c>
      <c r="D146">
        <v>46122.910174548611</v>
      </c>
      <c r="E146" t="s">
        <v>75</v>
      </c>
      <c r="F146" t="s">
        <v>5</v>
      </c>
      <c r="G146" t="s">
        <v>76</v>
      </c>
      <c r="H146" t="s">
        <v>109</v>
      </c>
      <c r="I146" t="s">
        <v>73</v>
      </c>
      <c r="J146" t="s">
        <v>28</v>
      </c>
      <c r="K146" t="s">
        <v>68</v>
      </c>
      <c r="L146">
        <v>4</v>
      </c>
      <c r="M146">
        <f t="shared" si="10"/>
        <v>7.9552891665953211</v>
      </c>
      <c r="N146">
        <f t="shared" si="11"/>
        <v>12.988911388849374</v>
      </c>
      <c r="O146">
        <f>VLOOKUP(F146,SLA_Targets!$A$2:$C$5,2,FALSE)</f>
        <v>4</v>
      </c>
      <c r="P146">
        <f>VLOOKUP(F146,SLA_Targets!$A$2:$C$5,3,FALSE)</f>
        <v>24</v>
      </c>
      <c r="Q146" t="str">
        <f t="shared" si="12"/>
        <v>Breached</v>
      </c>
      <c r="R146" t="str">
        <f t="shared" si="13"/>
        <v>Met</v>
      </c>
      <c r="S146" t="s">
        <v>29</v>
      </c>
      <c r="T146" t="s">
        <v>27</v>
      </c>
      <c r="U146">
        <v>1.8</v>
      </c>
      <c r="V146" t="s">
        <v>30</v>
      </c>
      <c r="W146">
        <f t="shared" si="14"/>
        <v>1</v>
      </c>
    </row>
    <row r="147" spans="1:23">
      <c r="A147" t="s">
        <v>234</v>
      </c>
      <c r="B147">
        <v>46139.393043981479</v>
      </c>
      <c r="C147">
        <v>46139.420691631945</v>
      </c>
      <c r="D147">
        <v>46139.583127152779</v>
      </c>
      <c r="E147" t="s">
        <v>75</v>
      </c>
      <c r="F147" t="s">
        <v>3</v>
      </c>
      <c r="G147" t="s">
        <v>71</v>
      </c>
      <c r="H147" t="s">
        <v>88</v>
      </c>
      <c r="I147" t="s">
        <v>73</v>
      </c>
      <c r="J147" t="s">
        <v>28</v>
      </c>
      <c r="K147" t="s">
        <v>85</v>
      </c>
      <c r="L147">
        <v>2</v>
      </c>
      <c r="M147">
        <f t="shared" si="10"/>
        <v>0.66354361118283123</v>
      </c>
      <c r="N147">
        <f t="shared" si="11"/>
        <v>4.5619961111806333</v>
      </c>
      <c r="O147">
        <f>VLOOKUP(F147,SLA_Targets!$A$2:$C$5,2,FALSE)</f>
        <v>0.5</v>
      </c>
      <c r="P147">
        <f>VLOOKUP(F147,SLA_Targets!$A$2:$C$5,3,FALSE)</f>
        <v>4</v>
      </c>
      <c r="Q147" t="str">
        <f t="shared" si="12"/>
        <v>Breached</v>
      </c>
      <c r="R147" t="str">
        <f t="shared" si="13"/>
        <v>Breached</v>
      </c>
      <c r="S147" t="s">
        <v>29</v>
      </c>
      <c r="T147" t="s">
        <v>27</v>
      </c>
      <c r="U147">
        <v>1.8</v>
      </c>
      <c r="V147" t="s">
        <v>30</v>
      </c>
      <c r="W147">
        <f t="shared" si="14"/>
        <v>1</v>
      </c>
    </row>
    <row r="148" spans="1:23">
      <c r="A148" t="s">
        <v>235</v>
      </c>
      <c r="B148">
        <v>46150.216979166667</v>
      </c>
      <c r="C148">
        <v>46150.238558101853</v>
      </c>
      <c r="D148">
        <v>46150.708934317132</v>
      </c>
      <c r="E148" t="s">
        <v>75</v>
      </c>
      <c r="F148" t="s">
        <v>4</v>
      </c>
      <c r="G148" t="s">
        <v>105</v>
      </c>
      <c r="H148" t="s">
        <v>72</v>
      </c>
      <c r="I148" t="s">
        <v>92</v>
      </c>
      <c r="J148" t="s">
        <v>34</v>
      </c>
      <c r="K148" t="s">
        <v>68</v>
      </c>
      <c r="L148">
        <v>5</v>
      </c>
      <c r="M148">
        <f t="shared" si="10"/>
        <v>0.5178944444633089</v>
      </c>
      <c r="N148">
        <f t="shared" si="11"/>
        <v>11.806923611147795</v>
      </c>
      <c r="O148">
        <f>VLOOKUP(F148,SLA_Targets!$A$2:$C$5,2,FALSE)</f>
        <v>1</v>
      </c>
      <c r="P148">
        <f>VLOOKUP(F148,SLA_Targets!$A$2:$C$5,3,FALSE)</f>
        <v>8</v>
      </c>
      <c r="Q148" t="str">
        <f t="shared" si="12"/>
        <v>Met</v>
      </c>
      <c r="R148" t="str">
        <f t="shared" si="13"/>
        <v>Breached</v>
      </c>
      <c r="S148" t="s">
        <v>35</v>
      </c>
      <c r="T148" t="s">
        <v>33</v>
      </c>
      <c r="U148">
        <v>3</v>
      </c>
      <c r="V148" t="s">
        <v>36</v>
      </c>
      <c r="W148">
        <f t="shared" si="14"/>
        <v>1</v>
      </c>
    </row>
    <row r="149" spans="1:23">
      <c r="A149" t="s">
        <v>236</v>
      </c>
      <c r="B149">
        <v>46136.870393518519</v>
      </c>
      <c r="C149">
        <v>46136.883003495372</v>
      </c>
      <c r="D149">
        <v>46137.393054803244</v>
      </c>
      <c r="E149" t="s">
        <v>70</v>
      </c>
      <c r="F149" t="s">
        <v>4</v>
      </c>
      <c r="G149" t="s">
        <v>79</v>
      </c>
      <c r="H149" t="s">
        <v>106</v>
      </c>
      <c r="I149" t="s">
        <v>92</v>
      </c>
      <c r="J149" t="s">
        <v>16</v>
      </c>
      <c r="K149" t="s">
        <v>85</v>
      </c>
      <c r="L149">
        <v>4</v>
      </c>
      <c r="M149">
        <f t="shared" si="10"/>
        <v>0.30263944447506219</v>
      </c>
      <c r="N149">
        <f t="shared" si="11"/>
        <v>12.543870833411347</v>
      </c>
      <c r="O149">
        <f>VLOOKUP(F149,SLA_Targets!$A$2:$C$5,2,FALSE)</f>
        <v>1</v>
      </c>
      <c r="P149">
        <f>VLOOKUP(F149,SLA_Targets!$A$2:$C$5,3,FALSE)</f>
        <v>8</v>
      </c>
      <c r="Q149" t="str">
        <f t="shared" si="12"/>
        <v>Met</v>
      </c>
      <c r="R149" t="str">
        <f t="shared" si="13"/>
        <v>Breached</v>
      </c>
      <c r="S149" t="s">
        <v>17</v>
      </c>
      <c r="T149" t="s">
        <v>14</v>
      </c>
      <c r="U149">
        <v>2.1</v>
      </c>
      <c r="V149" t="s">
        <v>18</v>
      </c>
      <c r="W149">
        <f t="shared" si="14"/>
        <v>1</v>
      </c>
    </row>
    <row r="150" spans="1:23">
      <c r="A150" t="s">
        <v>237</v>
      </c>
      <c r="B150">
        <v>46178.672974537039</v>
      </c>
      <c r="C150">
        <v>46178.818449999999</v>
      </c>
      <c r="D150">
        <v>46179.254606041664</v>
      </c>
      <c r="E150" t="s">
        <v>75</v>
      </c>
      <c r="F150" t="s">
        <v>5</v>
      </c>
      <c r="G150" t="s">
        <v>71</v>
      </c>
      <c r="H150" t="s">
        <v>88</v>
      </c>
      <c r="I150" t="s">
        <v>89</v>
      </c>
      <c r="J150" t="s">
        <v>25</v>
      </c>
      <c r="K150" t="s">
        <v>68</v>
      </c>
      <c r="L150">
        <v>4</v>
      </c>
      <c r="M150">
        <f t="shared" si="10"/>
        <v>3.4914111110265367</v>
      </c>
      <c r="N150">
        <f t="shared" si="11"/>
        <v>13.959156110999174</v>
      </c>
      <c r="O150">
        <f>VLOOKUP(F150,SLA_Targets!$A$2:$C$5,2,FALSE)</f>
        <v>4</v>
      </c>
      <c r="P150">
        <f>VLOOKUP(F150,SLA_Targets!$A$2:$C$5,3,FALSE)</f>
        <v>24</v>
      </c>
      <c r="Q150" t="str">
        <f t="shared" si="12"/>
        <v>Met</v>
      </c>
      <c r="R150" t="str">
        <f t="shared" si="13"/>
        <v>Met</v>
      </c>
      <c r="S150" t="s">
        <v>26</v>
      </c>
      <c r="T150" t="s">
        <v>27</v>
      </c>
      <c r="U150">
        <v>6.3</v>
      </c>
      <c r="V150" t="s">
        <v>15</v>
      </c>
      <c r="W150">
        <f t="shared" si="14"/>
        <v>1</v>
      </c>
    </row>
    <row r="151" spans="1:23">
      <c r="A151" t="s">
        <v>238</v>
      </c>
      <c r="B151">
        <v>46190.104710648149</v>
      </c>
      <c r="C151">
        <v>46190.282028171299</v>
      </c>
      <c r="D151">
        <v>46191.152506678241</v>
      </c>
      <c r="E151" t="s">
        <v>75</v>
      </c>
      <c r="F151" t="s">
        <v>5</v>
      </c>
      <c r="G151" t="s">
        <v>83</v>
      </c>
      <c r="H151" t="s">
        <v>80</v>
      </c>
      <c r="I151" t="s">
        <v>67</v>
      </c>
      <c r="J151" t="s">
        <v>44</v>
      </c>
      <c r="K151" t="s">
        <v>68</v>
      </c>
      <c r="L151">
        <v>4</v>
      </c>
      <c r="M151">
        <f t="shared" si="10"/>
        <v>4.2556205556029454</v>
      </c>
      <c r="N151">
        <f t="shared" si="11"/>
        <v>25.147104722214863</v>
      </c>
      <c r="O151">
        <f>VLOOKUP(F151,SLA_Targets!$A$2:$C$5,2,FALSE)</f>
        <v>4</v>
      </c>
      <c r="P151">
        <f>VLOOKUP(F151,SLA_Targets!$A$2:$C$5,3,FALSE)</f>
        <v>24</v>
      </c>
      <c r="Q151" t="str">
        <f t="shared" si="12"/>
        <v>Breached</v>
      </c>
      <c r="R151" t="str">
        <f t="shared" si="13"/>
        <v>Breached</v>
      </c>
      <c r="S151" t="s">
        <v>45</v>
      </c>
      <c r="T151" t="s">
        <v>33</v>
      </c>
      <c r="U151">
        <v>5.0999999999999996</v>
      </c>
      <c r="V151" t="s">
        <v>30</v>
      </c>
      <c r="W151">
        <f t="shared" si="14"/>
        <v>1</v>
      </c>
    </row>
    <row r="152" spans="1:23">
      <c r="A152" t="s">
        <v>239</v>
      </c>
      <c r="B152">
        <v>46155.12641203704</v>
      </c>
      <c r="C152">
        <v>46155.132569756941</v>
      </c>
      <c r="D152">
        <v>46155.210074386574</v>
      </c>
      <c r="E152" t="s">
        <v>75</v>
      </c>
      <c r="F152" t="s">
        <v>3</v>
      </c>
      <c r="G152" t="s">
        <v>65</v>
      </c>
      <c r="H152" t="s">
        <v>66</v>
      </c>
      <c r="I152" t="s">
        <v>73</v>
      </c>
      <c r="J152" t="s">
        <v>19</v>
      </c>
      <c r="K152" t="s">
        <v>68</v>
      </c>
      <c r="L152">
        <v>3</v>
      </c>
      <c r="M152">
        <f t="shared" si="10"/>
        <v>0.14778527762973681</v>
      </c>
      <c r="N152">
        <f t="shared" si="11"/>
        <v>2.0078963888227008</v>
      </c>
      <c r="O152">
        <f>VLOOKUP(F152,SLA_Targets!$A$2:$C$5,2,FALSE)</f>
        <v>0.5</v>
      </c>
      <c r="P152">
        <f>VLOOKUP(F152,SLA_Targets!$A$2:$C$5,3,FALSE)</f>
        <v>4</v>
      </c>
      <c r="Q152" t="str">
        <f t="shared" si="12"/>
        <v>Met</v>
      </c>
      <c r="R152" t="str">
        <f t="shared" si="13"/>
        <v>Met</v>
      </c>
      <c r="S152" t="s">
        <v>20</v>
      </c>
      <c r="T152" t="s">
        <v>21</v>
      </c>
      <c r="U152">
        <v>5.6</v>
      </c>
      <c r="V152" t="s">
        <v>22</v>
      </c>
      <c r="W152">
        <f t="shared" si="14"/>
        <v>1</v>
      </c>
    </row>
    <row r="153" spans="1:23">
      <c r="A153" t="s">
        <v>240</v>
      </c>
      <c r="B153">
        <v>46202.709629629629</v>
      </c>
      <c r="C153">
        <v>46202.726644872688</v>
      </c>
      <c r="D153">
        <v>46202.882460983798</v>
      </c>
      <c r="E153" t="s">
        <v>75</v>
      </c>
      <c r="F153" t="s">
        <v>3</v>
      </c>
      <c r="G153" t="s">
        <v>83</v>
      </c>
      <c r="H153" t="s">
        <v>84</v>
      </c>
      <c r="I153" t="s">
        <v>73</v>
      </c>
      <c r="J153" t="s">
        <v>44</v>
      </c>
      <c r="K153" t="s">
        <v>68</v>
      </c>
      <c r="L153">
        <v>3</v>
      </c>
      <c r="M153">
        <f t="shared" si="10"/>
        <v>0.40836583339842036</v>
      </c>
      <c r="N153">
        <f t="shared" si="11"/>
        <v>4.147952500032261</v>
      </c>
      <c r="O153">
        <f>VLOOKUP(F153,SLA_Targets!$A$2:$C$5,2,FALSE)</f>
        <v>0.5</v>
      </c>
      <c r="P153">
        <f>VLOOKUP(F153,SLA_Targets!$A$2:$C$5,3,FALSE)</f>
        <v>4</v>
      </c>
      <c r="Q153" t="str">
        <f t="shared" si="12"/>
        <v>Met</v>
      </c>
      <c r="R153" t="str">
        <f t="shared" si="13"/>
        <v>Breached</v>
      </c>
      <c r="S153" t="s">
        <v>45</v>
      </c>
      <c r="T153" t="s">
        <v>33</v>
      </c>
      <c r="U153">
        <v>5.0999999999999996</v>
      </c>
      <c r="V153" t="s">
        <v>30</v>
      </c>
      <c r="W153">
        <f t="shared" si="14"/>
        <v>1</v>
      </c>
    </row>
    <row r="154" spans="1:23">
      <c r="A154" t="s">
        <v>241</v>
      </c>
      <c r="B154">
        <v>46124.507002314815</v>
      </c>
      <c r="C154">
        <v>46124.511922951388</v>
      </c>
      <c r="D154">
        <v>46124.770674120373</v>
      </c>
      <c r="E154" t="s">
        <v>75</v>
      </c>
      <c r="F154" t="s">
        <v>3</v>
      </c>
      <c r="G154" t="s">
        <v>65</v>
      </c>
      <c r="H154" t="s">
        <v>84</v>
      </c>
      <c r="I154" t="s">
        <v>73</v>
      </c>
      <c r="J154" t="s">
        <v>19</v>
      </c>
      <c r="K154" t="s">
        <v>68</v>
      </c>
      <c r="L154">
        <v>5</v>
      </c>
      <c r="M154">
        <f t="shared" si="10"/>
        <v>0.11809527775039896</v>
      </c>
      <c r="N154">
        <f t="shared" si="11"/>
        <v>6.3281233333982527</v>
      </c>
      <c r="O154">
        <f>VLOOKUP(F154,SLA_Targets!$A$2:$C$5,2,FALSE)</f>
        <v>0.5</v>
      </c>
      <c r="P154">
        <f>VLOOKUP(F154,SLA_Targets!$A$2:$C$5,3,FALSE)</f>
        <v>4</v>
      </c>
      <c r="Q154" t="str">
        <f t="shared" si="12"/>
        <v>Met</v>
      </c>
      <c r="R154" t="str">
        <f t="shared" si="13"/>
        <v>Breached</v>
      </c>
      <c r="S154" t="s">
        <v>20</v>
      </c>
      <c r="T154" t="s">
        <v>21</v>
      </c>
      <c r="U154">
        <v>5.6</v>
      </c>
      <c r="V154" t="s">
        <v>22</v>
      </c>
      <c r="W154">
        <f t="shared" si="14"/>
        <v>1</v>
      </c>
    </row>
    <row r="155" spans="1:23">
      <c r="A155" t="s">
        <v>242</v>
      </c>
      <c r="B155">
        <v>46175.51766203704</v>
      </c>
      <c r="C155">
        <v>46175.602006550929</v>
      </c>
      <c r="D155">
        <v>46175.751978067128</v>
      </c>
      <c r="E155" t="s">
        <v>75</v>
      </c>
      <c r="F155" t="s">
        <v>5</v>
      </c>
      <c r="G155" t="s">
        <v>76</v>
      </c>
      <c r="H155" t="s">
        <v>66</v>
      </c>
      <c r="I155" t="s">
        <v>89</v>
      </c>
      <c r="J155" t="s">
        <v>40</v>
      </c>
      <c r="K155" t="s">
        <v>68</v>
      </c>
      <c r="L155">
        <v>5</v>
      </c>
      <c r="M155">
        <f t="shared" si="10"/>
        <v>2.0242683333344758</v>
      </c>
      <c r="N155">
        <f t="shared" si="11"/>
        <v>5.6235847221105359</v>
      </c>
      <c r="O155">
        <f>VLOOKUP(F155,SLA_Targets!$A$2:$C$5,2,FALSE)</f>
        <v>4</v>
      </c>
      <c r="P155">
        <f>VLOOKUP(F155,SLA_Targets!$A$2:$C$5,3,FALSE)</f>
        <v>24</v>
      </c>
      <c r="Q155" t="str">
        <f t="shared" si="12"/>
        <v>Met</v>
      </c>
      <c r="R155" t="str">
        <f t="shared" si="13"/>
        <v>Met</v>
      </c>
      <c r="S155" t="s">
        <v>41</v>
      </c>
      <c r="T155" t="s">
        <v>27</v>
      </c>
      <c r="U155">
        <v>4.8</v>
      </c>
      <c r="V155" t="s">
        <v>39</v>
      </c>
      <c r="W155">
        <f t="shared" si="14"/>
        <v>1</v>
      </c>
    </row>
    <row r="156" spans="1:23">
      <c r="A156" t="s">
        <v>243</v>
      </c>
      <c r="B156">
        <v>46144.98332175926</v>
      </c>
      <c r="C156">
        <v>46145.016532361115</v>
      </c>
      <c r="D156">
        <v>46145.282535254628</v>
      </c>
      <c r="E156" t="s">
        <v>75</v>
      </c>
      <c r="F156" t="s">
        <v>4</v>
      </c>
      <c r="G156" t="s">
        <v>79</v>
      </c>
      <c r="H156" t="s">
        <v>77</v>
      </c>
      <c r="I156" t="s">
        <v>92</v>
      </c>
      <c r="J156" t="s">
        <v>37</v>
      </c>
      <c r="K156" t="s">
        <v>68</v>
      </c>
      <c r="L156">
        <v>4</v>
      </c>
      <c r="M156">
        <f t="shared" si="10"/>
        <v>0.79705444449791685</v>
      </c>
      <c r="N156">
        <f t="shared" si="11"/>
        <v>7.1811238888185471</v>
      </c>
      <c r="O156">
        <f>VLOOKUP(F156,SLA_Targets!$A$2:$C$5,2,FALSE)</f>
        <v>1</v>
      </c>
      <c r="P156">
        <f>VLOOKUP(F156,SLA_Targets!$A$2:$C$5,3,FALSE)</f>
        <v>8</v>
      </c>
      <c r="Q156" t="str">
        <f t="shared" si="12"/>
        <v>Met</v>
      </c>
      <c r="R156" t="str">
        <f t="shared" si="13"/>
        <v>Met</v>
      </c>
      <c r="S156" t="s">
        <v>38</v>
      </c>
      <c r="T156" t="s">
        <v>14</v>
      </c>
      <c r="U156">
        <v>1.2</v>
      </c>
      <c r="V156" t="s">
        <v>39</v>
      </c>
      <c r="W156">
        <f t="shared" si="14"/>
        <v>1</v>
      </c>
    </row>
    <row r="157" spans="1:23">
      <c r="A157" t="s">
        <v>244</v>
      </c>
      <c r="B157">
        <v>46178.732314814813</v>
      </c>
      <c r="C157">
        <v>46178.758599988425</v>
      </c>
      <c r="D157">
        <v>46178.961605497687</v>
      </c>
      <c r="E157" t="s">
        <v>75</v>
      </c>
      <c r="F157" t="s">
        <v>4</v>
      </c>
      <c r="G157" t="s">
        <v>105</v>
      </c>
      <c r="H157" t="s">
        <v>80</v>
      </c>
      <c r="I157" t="s">
        <v>73</v>
      </c>
      <c r="J157" t="s">
        <v>44</v>
      </c>
      <c r="K157" t="s">
        <v>68</v>
      </c>
      <c r="L157">
        <v>4</v>
      </c>
      <c r="M157">
        <f t="shared" si="10"/>
        <v>0.63084416667697951</v>
      </c>
      <c r="N157">
        <f t="shared" si="11"/>
        <v>5.5029763889615424</v>
      </c>
      <c r="O157">
        <f>VLOOKUP(F157,SLA_Targets!$A$2:$C$5,2,FALSE)</f>
        <v>1</v>
      </c>
      <c r="P157">
        <f>VLOOKUP(F157,SLA_Targets!$A$2:$C$5,3,FALSE)</f>
        <v>8</v>
      </c>
      <c r="Q157" t="str">
        <f t="shared" si="12"/>
        <v>Met</v>
      </c>
      <c r="R157" t="str">
        <f t="shared" si="13"/>
        <v>Met</v>
      </c>
      <c r="S157" t="s">
        <v>45</v>
      </c>
      <c r="T157" t="s">
        <v>33</v>
      </c>
      <c r="U157">
        <v>5.0999999999999996</v>
      </c>
      <c r="V157" t="s">
        <v>30</v>
      </c>
      <c r="W157">
        <f t="shared" si="14"/>
        <v>1</v>
      </c>
    </row>
    <row r="158" spans="1:23">
      <c r="A158" t="s">
        <v>245</v>
      </c>
      <c r="B158">
        <v>46165.507685185185</v>
      </c>
      <c r="C158">
        <v>46165.71793298611</v>
      </c>
      <c r="D158">
        <v>46166.954152303239</v>
      </c>
      <c r="E158" t="s">
        <v>75</v>
      </c>
      <c r="F158" t="s">
        <v>5</v>
      </c>
      <c r="G158" t="s">
        <v>105</v>
      </c>
      <c r="H158" t="s">
        <v>84</v>
      </c>
      <c r="I158" t="s">
        <v>73</v>
      </c>
      <c r="J158" t="s">
        <v>31</v>
      </c>
      <c r="K158" t="s">
        <v>68</v>
      </c>
      <c r="L158">
        <v>4</v>
      </c>
      <c r="M158">
        <f t="shared" si="10"/>
        <v>5.0459472222137265</v>
      </c>
      <c r="N158">
        <f t="shared" si="11"/>
        <v>34.715210833295714</v>
      </c>
      <c r="O158">
        <f>VLOOKUP(F158,SLA_Targets!$A$2:$C$5,2,FALSE)</f>
        <v>4</v>
      </c>
      <c r="P158">
        <f>VLOOKUP(F158,SLA_Targets!$A$2:$C$5,3,FALSE)</f>
        <v>24</v>
      </c>
      <c r="Q158" t="str">
        <f t="shared" si="12"/>
        <v>Breached</v>
      </c>
      <c r="R158" t="str">
        <f t="shared" si="13"/>
        <v>Breached</v>
      </c>
      <c r="S158" t="s">
        <v>32</v>
      </c>
      <c r="T158" t="s">
        <v>33</v>
      </c>
      <c r="U158">
        <v>7.1</v>
      </c>
      <c r="V158" t="s">
        <v>18</v>
      </c>
      <c r="W158">
        <f t="shared" si="14"/>
        <v>1</v>
      </c>
    </row>
    <row r="159" spans="1:23">
      <c r="A159" t="s">
        <v>246</v>
      </c>
      <c r="B159">
        <v>46176.740115740744</v>
      </c>
      <c r="C159">
        <v>46176.943537974534</v>
      </c>
      <c r="D159">
        <v>46177.418055509261</v>
      </c>
      <c r="E159" t="s">
        <v>75</v>
      </c>
      <c r="F159" t="s">
        <v>5</v>
      </c>
      <c r="G159" t="s">
        <v>71</v>
      </c>
      <c r="H159" t="s">
        <v>77</v>
      </c>
      <c r="I159" t="s">
        <v>73</v>
      </c>
      <c r="J159" t="s">
        <v>28</v>
      </c>
      <c r="K159" t="s">
        <v>68</v>
      </c>
      <c r="L159">
        <v>3</v>
      </c>
      <c r="M159">
        <f t="shared" si="10"/>
        <v>4.8821336109540425</v>
      </c>
      <c r="N159">
        <f t="shared" si="11"/>
        <v>16.270554444403388</v>
      </c>
      <c r="O159">
        <f>VLOOKUP(F159,SLA_Targets!$A$2:$C$5,2,FALSE)</f>
        <v>4</v>
      </c>
      <c r="P159">
        <f>VLOOKUP(F159,SLA_Targets!$A$2:$C$5,3,FALSE)</f>
        <v>24</v>
      </c>
      <c r="Q159" t="str">
        <f t="shared" si="12"/>
        <v>Breached</v>
      </c>
      <c r="R159" t="str">
        <f t="shared" si="13"/>
        <v>Met</v>
      </c>
      <c r="S159" t="s">
        <v>29</v>
      </c>
      <c r="T159" t="s">
        <v>27</v>
      </c>
      <c r="U159">
        <v>1.8</v>
      </c>
      <c r="V159" t="s">
        <v>30</v>
      </c>
      <c r="W159">
        <f t="shared" si="14"/>
        <v>1</v>
      </c>
    </row>
    <row r="160" spans="1:23">
      <c r="A160" t="s">
        <v>247</v>
      </c>
      <c r="B160">
        <v>46168.938344907408</v>
      </c>
      <c r="C160">
        <v>46169.132267962967</v>
      </c>
      <c r="D160">
        <v>46169.316067314816</v>
      </c>
      <c r="E160" t="s">
        <v>75</v>
      </c>
      <c r="F160" t="s">
        <v>5</v>
      </c>
      <c r="G160" t="s">
        <v>65</v>
      </c>
      <c r="H160" t="s">
        <v>109</v>
      </c>
      <c r="I160" t="s">
        <v>89</v>
      </c>
      <c r="J160" t="s">
        <v>23</v>
      </c>
      <c r="K160" t="s">
        <v>68</v>
      </c>
      <c r="L160">
        <v>4</v>
      </c>
      <c r="M160">
        <f t="shared" si="10"/>
        <v>4.6541533333947882</v>
      </c>
      <c r="N160">
        <f t="shared" si="11"/>
        <v>9.0653377777780406</v>
      </c>
      <c r="O160">
        <f>VLOOKUP(F160,SLA_Targets!$A$2:$C$5,2,FALSE)</f>
        <v>4</v>
      </c>
      <c r="P160">
        <f>VLOOKUP(F160,SLA_Targets!$A$2:$C$5,3,FALSE)</f>
        <v>24</v>
      </c>
      <c r="Q160" t="str">
        <f t="shared" si="12"/>
        <v>Breached</v>
      </c>
      <c r="R160" t="str">
        <f t="shared" si="13"/>
        <v>Met</v>
      </c>
      <c r="S160" t="s">
        <v>24</v>
      </c>
      <c r="T160" t="s">
        <v>21</v>
      </c>
      <c r="U160">
        <v>3.4</v>
      </c>
      <c r="V160" t="s">
        <v>22</v>
      </c>
      <c r="W160">
        <f t="shared" si="14"/>
        <v>1</v>
      </c>
    </row>
    <row r="161" spans="1:23">
      <c r="A161" t="s">
        <v>248</v>
      </c>
      <c r="B161">
        <v>46188.639687499999</v>
      </c>
      <c r="C161">
        <v>46188.732237905089</v>
      </c>
      <c r="D161">
        <v>46189.95887678241</v>
      </c>
      <c r="E161" t="s">
        <v>75</v>
      </c>
      <c r="F161" t="s">
        <v>5</v>
      </c>
      <c r="G161" t="s">
        <v>98</v>
      </c>
      <c r="H161" t="s">
        <v>106</v>
      </c>
      <c r="I161" t="s">
        <v>89</v>
      </c>
      <c r="J161" t="s">
        <v>37</v>
      </c>
      <c r="K161" t="s">
        <v>68</v>
      </c>
      <c r="L161">
        <v>4</v>
      </c>
      <c r="M161">
        <f t="shared" si="10"/>
        <v>2.2212097221636213</v>
      </c>
      <c r="N161">
        <f t="shared" si="11"/>
        <v>31.660542777855881</v>
      </c>
      <c r="O161">
        <f>VLOOKUP(F161,SLA_Targets!$A$2:$C$5,2,FALSE)</f>
        <v>4</v>
      </c>
      <c r="P161">
        <f>VLOOKUP(F161,SLA_Targets!$A$2:$C$5,3,FALSE)</f>
        <v>24</v>
      </c>
      <c r="Q161" t="str">
        <f t="shared" si="12"/>
        <v>Met</v>
      </c>
      <c r="R161" t="str">
        <f t="shared" si="13"/>
        <v>Breached</v>
      </c>
      <c r="S161" t="s">
        <v>38</v>
      </c>
      <c r="T161" t="s">
        <v>14</v>
      </c>
      <c r="U161">
        <v>1.2</v>
      </c>
      <c r="V161" t="s">
        <v>39</v>
      </c>
      <c r="W161">
        <f t="shared" si="14"/>
        <v>1</v>
      </c>
    </row>
    <row r="162" spans="1:23">
      <c r="A162" t="s">
        <v>249</v>
      </c>
      <c r="B162">
        <v>46168.940439814818</v>
      </c>
      <c r="C162">
        <v>46169.095731805559</v>
      </c>
      <c r="D162">
        <v>46175.651072812499</v>
      </c>
      <c r="E162" t="s">
        <v>75</v>
      </c>
      <c r="F162" t="s">
        <v>6</v>
      </c>
      <c r="G162" t="s">
        <v>79</v>
      </c>
      <c r="H162" t="s">
        <v>80</v>
      </c>
      <c r="I162" t="s">
        <v>92</v>
      </c>
      <c r="J162" t="s">
        <v>37</v>
      </c>
      <c r="K162" t="s">
        <v>68</v>
      </c>
      <c r="L162">
        <v>4</v>
      </c>
      <c r="M162">
        <f t="shared" si="10"/>
        <v>3.7270077777793631</v>
      </c>
      <c r="N162">
        <f t="shared" si="11"/>
        <v>161.05519194435328</v>
      </c>
      <c r="O162">
        <f>VLOOKUP(F162,SLA_Targets!$A$2:$C$5,2,FALSE)</f>
        <v>8</v>
      </c>
      <c r="P162">
        <f>VLOOKUP(F162,SLA_Targets!$A$2:$C$5,3,FALSE)</f>
        <v>48</v>
      </c>
      <c r="Q162" t="str">
        <f t="shared" si="12"/>
        <v>Met</v>
      </c>
      <c r="R162" t="str">
        <f t="shared" si="13"/>
        <v>Breached</v>
      </c>
      <c r="S162" t="s">
        <v>38</v>
      </c>
      <c r="T162" t="s">
        <v>14</v>
      </c>
      <c r="U162">
        <v>1.2</v>
      </c>
      <c r="V162" t="s">
        <v>39</v>
      </c>
      <c r="W162">
        <f t="shared" si="14"/>
        <v>1</v>
      </c>
    </row>
    <row r="163" spans="1:23">
      <c r="A163" t="s">
        <v>250</v>
      </c>
      <c r="B163">
        <v>46139.423171296294</v>
      </c>
      <c r="C163">
        <v>46139.707369618052</v>
      </c>
      <c r="D163">
        <v>46140.564580243059</v>
      </c>
      <c r="E163" t="s">
        <v>75</v>
      </c>
      <c r="F163" t="s">
        <v>5</v>
      </c>
      <c r="G163" t="s">
        <v>76</v>
      </c>
      <c r="H163" t="s">
        <v>80</v>
      </c>
      <c r="I163" t="s">
        <v>89</v>
      </c>
      <c r="J163" t="s">
        <v>25</v>
      </c>
      <c r="K163" t="s">
        <v>85</v>
      </c>
      <c r="L163">
        <v>3</v>
      </c>
      <c r="M163">
        <f t="shared" si="10"/>
        <v>6.8207597222062759</v>
      </c>
      <c r="N163">
        <f t="shared" si="11"/>
        <v>27.393814722367097</v>
      </c>
      <c r="O163">
        <f>VLOOKUP(F163,SLA_Targets!$A$2:$C$5,2,FALSE)</f>
        <v>4</v>
      </c>
      <c r="P163">
        <f>VLOOKUP(F163,SLA_Targets!$A$2:$C$5,3,FALSE)</f>
        <v>24</v>
      </c>
      <c r="Q163" t="str">
        <f t="shared" si="12"/>
        <v>Breached</v>
      </c>
      <c r="R163" t="str">
        <f t="shared" si="13"/>
        <v>Breached</v>
      </c>
      <c r="S163" t="s">
        <v>26</v>
      </c>
      <c r="T163" t="s">
        <v>27</v>
      </c>
      <c r="U163">
        <v>6.3</v>
      </c>
      <c r="V163" t="s">
        <v>15</v>
      </c>
      <c r="W163">
        <f t="shared" si="14"/>
        <v>1</v>
      </c>
    </row>
    <row r="164" spans="1:23">
      <c r="A164" t="s">
        <v>251</v>
      </c>
      <c r="B164">
        <v>46155.047534722224</v>
      </c>
      <c r="C164">
        <v>46155.206247418981</v>
      </c>
      <c r="D164">
        <v>46155.337459803239</v>
      </c>
      <c r="E164" t="s">
        <v>75</v>
      </c>
      <c r="F164" t="s">
        <v>5</v>
      </c>
      <c r="G164" t="s">
        <v>98</v>
      </c>
      <c r="H164" t="s">
        <v>88</v>
      </c>
      <c r="I164" t="s">
        <v>89</v>
      </c>
      <c r="J164" t="s">
        <v>16</v>
      </c>
      <c r="K164" t="s">
        <v>68</v>
      </c>
      <c r="L164">
        <v>5</v>
      </c>
      <c r="M164">
        <f t="shared" si="10"/>
        <v>3.8091047221678309</v>
      </c>
      <c r="N164">
        <f t="shared" si="11"/>
        <v>6.9582019443623722</v>
      </c>
      <c r="O164">
        <f>VLOOKUP(F164,SLA_Targets!$A$2:$C$5,2,FALSE)</f>
        <v>4</v>
      </c>
      <c r="P164">
        <f>VLOOKUP(F164,SLA_Targets!$A$2:$C$5,3,FALSE)</f>
        <v>24</v>
      </c>
      <c r="Q164" t="str">
        <f t="shared" si="12"/>
        <v>Met</v>
      </c>
      <c r="R164" t="str">
        <f t="shared" si="13"/>
        <v>Met</v>
      </c>
      <c r="S164" t="s">
        <v>17</v>
      </c>
      <c r="T164" t="s">
        <v>14</v>
      </c>
      <c r="U164">
        <v>2.1</v>
      </c>
      <c r="V164" t="s">
        <v>18</v>
      </c>
      <c r="W164">
        <f t="shared" si="14"/>
        <v>1</v>
      </c>
    </row>
    <row r="165" spans="1:23">
      <c r="A165" t="s">
        <v>252</v>
      </c>
      <c r="B165">
        <v>46201.628009259257</v>
      </c>
      <c r="C165">
        <v>46201.641676851854</v>
      </c>
      <c r="D165">
        <v>46201.863163888891</v>
      </c>
      <c r="E165" t="s">
        <v>75</v>
      </c>
      <c r="F165" t="s">
        <v>4</v>
      </c>
      <c r="G165" t="s">
        <v>65</v>
      </c>
      <c r="H165" t="s">
        <v>88</v>
      </c>
      <c r="I165" t="s">
        <v>89</v>
      </c>
      <c r="J165" t="s">
        <v>19</v>
      </c>
      <c r="K165" t="s">
        <v>68</v>
      </c>
      <c r="L165">
        <v>5</v>
      </c>
      <c r="M165">
        <f t="shared" si="10"/>
        <v>0.32802222232567146</v>
      </c>
      <c r="N165">
        <f t="shared" si="11"/>
        <v>5.6437111112172715</v>
      </c>
      <c r="O165">
        <f>VLOOKUP(F165,SLA_Targets!$A$2:$C$5,2,FALSE)</f>
        <v>1</v>
      </c>
      <c r="P165">
        <f>VLOOKUP(F165,SLA_Targets!$A$2:$C$5,3,FALSE)</f>
        <v>8</v>
      </c>
      <c r="Q165" t="str">
        <f t="shared" si="12"/>
        <v>Met</v>
      </c>
      <c r="R165" t="str">
        <f t="shared" si="13"/>
        <v>Met</v>
      </c>
      <c r="S165" t="s">
        <v>20</v>
      </c>
      <c r="T165" t="s">
        <v>21</v>
      </c>
      <c r="U165">
        <v>5.6</v>
      </c>
      <c r="V165" t="s">
        <v>22</v>
      </c>
      <c r="W165">
        <f t="shared" si="14"/>
        <v>1</v>
      </c>
    </row>
    <row r="166" spans="1:23">
      <c r="A166" t="s">
        <v>253</v>
      </c>
      <c r="B166">
        <v>46181.655636574076</v>
      </c>
      <c r="C166">
        <v>46181.674911400463</v>
      </c>
      <c r="D166">
        <v>46181.832970023148</v>
      </c>
      <c r="E166" t="s">
        <v>75</v>
      </c>
      <c r="F166" t="s">
        <v>3</v>
      </c>
      <c r="G166" t="s">
        <v>65</v>
      </c>
      <c r="H166" t="s">
        <v>84</v>
      </c>
      <c r="I166" t="s">
        <v>73</v>
      </c>
      <c r="J166" t="s">
        <v>19</v>
      </c>
      <c r="K166" t="s">
        <v>68</v>
      </c>
      <c r="L166">
        <v>5</v>
      </c>
      <c r="M166">
        <f t="shared" si="10"/>
        <v>0.46259583329083398</v>
      </c>
      <c r="N166">
        <f t="shared" si="11"/>
        <v>4.2560027777217329</v>
      </c>
      <c r="O166">
        <f>VLOOKUP(F166,SLA_Targets!$A$2:$C$5,2,FALSE)</f>
        <v>0.5</v>
      </c>
      <c r="P166">
        <f>VLOOKUP(F166,SLA_Targets!$A$2:$C$5,3,FALSE)</f>
        <v>4</v>
      </c>
      <c r="Q166" t="str">
        <f t="shared" si="12"/>
        <v>Met</v>
      </c>
      <c r="R166" t="str">
        <f t="shared" si="13"/>
        <v>Breached</v>
      </c>
      <c r="S166" t="s">
        <v>20</v>
      </c>
      <c r="T166" t="s">
        <v>21</v>
      </c>
      <c r="U166">
        <v>5.6</v>
      </c>
      <c r="V166" t="s">
        <v>22</v>
      </c>
      <c r="W166">
        <f t="shared" si="14"/>
        <v>1</v>
      </c>
    </row>
    <row r="167" spans="1:23">
      <c r="A167" t="s">
        <v>254</v>
      </c>
      <c r="B167">
        <v>46184.283414351848</v>
      </c>
      <c r="C167">
        <v>46184.300603101852</v>
      </c>
      <c r="D167">
        <v>46184.330561655093</v>
      </c>
      <c r="E167" t="s">
        <v>75</v>
      </c>
      <c r="F167" t="s">
        <v>3</v>
      </c>
      <c r="G167" t="s">
        <v>105</v>
      </c>
      <c r="H167" t="s">
        <v>88</v>
      </c>
      <c r="I167" t="s">
        <v>73</v>
      </c>
      <c r="J167" t="s">
        <v>34</v>
      </c>
      <c r="K167" t="s">
        <v>68</v>
      </c>
      <c r="L167">
        <v>5</v>
      </c>
      <c r="M167">
        <f t="shared" si="10"/>
        <v>0.41253000008873641</v>
      </c>
      <c r="N167">
        <f t="shared" si="11"/>
        <v>1.1315352778765373</v>
      </c>
      <c r="O167">
        <f>VLOOKUP(F167,SLA_Targets!$A$2:$C$5,2,FALSE)</f>
        <v>0.5</v>
      </c>
      <c r="P167">
        <f>VLOOKUP(F167,SLA_Targets!$A$2:$C$5,3,FALSE)</f>
        <v>4</v>
      </c>
      <c r="Q167" t="str">
        <f t="shared" si="12"/>
        <v>Met</v>
      </c>
      <c r="R167" t="str">
        <f t="shared" si="13"/>
        <v>Met</v>
      </c>
      <c r="S167" t="s">
        <v>35</v>
      </c>
      <c r="T167" t="s">
        <v>33</v>
      </c>
      <c r="U167">
        <v>3</v>
      </c>
      <c r="V167" t="s">
        <v>36</v>
      </c>
      <c r="W167">
        <f t="shared" si="14"/>
        <v>1</v>
      </c>
    </row>
    <row r="168" spans="1:23">
      <c r="A168" t="s">
        <v>255</v>
      </c>
      <c r="B168">
        <v>46202.646192129629</v>
      </c>
      <c r="C168">
        <v>46202.731911087962</v>
      </c>
      <c r="D168">
        <v>46203.602440810188</v>
      </c>
      <c r="E168" t="s">
        <v>75</v>
      </c>
      <c r="F168" t="s">
        <v>5</v>
      </c>
      <c r="G168" t="s">
        <v>94</v>
      </c>
      <c r="H168" t="s">
        <v>80</v>
      </c>
      <c r="I168" t="s">
        <v>73</v>
      </c>
      <c r="J168" t="s">
        <v>12</v>
      </c>
      <c r="K168" t="s">
        <v>68</v>
      </c>
      <c r="L168">
        <v>5</v>
      </c>
      <c r="M168">
        <f t="shared" si="10"/>
        <v>2.0572549999924377</v>
      </c>
      <c r="N168">
        <f t="shared" si="11"/>
        <v>22.94996833341429</v>
      </c>
      <c r="O168">
        <f>VLOOKUP(F168,SLA_Targets!$A$2:$C$5,2,FALSE)</f>
        <v>4</v>
      </c>
      <c r="P168">
        <f>VLOOKUP(F168,SLA_Targets!$A$2:$C$5,3,FALSE)</f>
        <v>24</v>
      </c>
      <c r="Q168" t="str">
        <f t="shared" si="12"/>
        <v>Met</v>
      </c>
      <c r="R168" t="str">
        <f t="shared" si="13"/>
        <v>Met</v>
      </c>
      <c r="S168" t="s">
        <v>13</v>
      </c>
      <c r="T168" t="s">
        <v>14</v>
      </c>
      <c r="U168">
        <v>4.2</v>
      </c>
      <c r="V168" t="s">
        <v>15</v>
      </c>
      <c r="W168">
        <f t="shared" si="14"/>
        <v>1</v>
      </c>
    </row>
    <row r="169" spans="1:23">
      <c r="A169" t="s">
        <v>256</v>
      </c>
      <c r="B169">
        <v>46183.35292824074</v>
      </c>
      <c r="C169">
        <v>46183.481110555556</v>
      </c>
      <c r="D169">
        <v>46183.891462847219</v>
      </c>
      <c r="E169" t="s">
        <v>70</v>
      </c>
      <c r="F169" t="s">
        <v>5</v>
      </c>
      <c r="G169" t="s">
        <v>76</v>
      </c>
      <c r="H169" t="s">
        <v>109</v>
      </c>
      <c r="I169" t="s">
        <v>73</v>
      </c>
      <c r="J169" t="s">
        <v>40</v>
      </c>
      <c r="K169" t="s">
        <v>68</v>
      </c>
      <c r="L169">
        <v>4</v>
      </c>
      <c r="M169">
        <f t="shared" si="10"/>
        <v>3.0763755555963144</v>
      </c>
      <c r="N169">
        <f t="shared" si="11"/>
        <v>12.924830555508379</v>
      </c>
      <c r="O169">
        <f>VLOOKUP(F169,SLA_Targets!$A$2:$C$5,2,FALSE)</f>
        <v>4</v>
      </c>
      <c r="P169">
        <f>VLOOKUP(F169,SLA_Targets!$A$2:$C$5,3,FALSE)</f>
        <v>24</v>
      </c>
      <c r="Q169" t="str">
        <f t="shared" si="12"/>
        <v>Met</v>
      </c>
      <c r="R169" t="str">
        <f t="shared" si="13"/>
        <v>Met</v>
      </c>
      <c r="S169" t="s">
        <v>41</v>
      </c>
      <c r="T169" t="s">
        <v>27</v>
      </c>
      <c r="U169">
        <v>4.8</v>
      </c>
      <c r="V169" t="s">
        <v>39</v>
      </c>
      <c r="W169">
        <f t="shared" si="14"/>
        <v>1</v>
      </c>
    </row>
    <row r="170" spans="1:23">
      <c r="A170" t="s">
        <v>257</v>
      </c>
      <c r="B170">
        <v>46175.28497685185</v>
      </c>
      <c r="C170">
        <v>46175.490990092592</v>
      </c>
      <c r="D170">
        <v>46175.718363738422</v>
      </c>
      <c r="E170" t="s">
        <v>70</v>
      </c>
      <c r="F170" t="s">
        <v>5</v>
      </c>
      <c r="G170" t="s">
        <v>76</v>
      </c>
      <c r="H170" t="s">
        <v>106</v>
      </c>
      <c r="I170" t="s">
        <v>73</v>
      </c>
      <c r="J170" t="s">
        <v>25</v>
      </c>
      <c r="K170" t="s">
        <v>68</v>
      </c>
      <c r="L170">
        <v>4</v>
      </c>
      <c r="M170">
        <f t="shared" si="10"/>
        <v>4.9443177778157406</v>
      </c>
      <c r="N170">
        <f t="shared" si="11"/>
        <v>10.40128527773777</v>
      </c>
      <c r="O170">
        <f>VLOOKUP(F170,SLA_Targets!$A$2:$C$5,2,FALSE)</f>
        <v>4</v>
      </c>
      <c r="P170">
        <f>VLOOKUP(F170,SLA_Targets!$A$2:$C$5,3,FALSE)</f>
        <v>24</v>
      </c>
      <c r="Q170" t="str">
        <f t="shared" si="12"/>
        <v>Breached</v>
      </c>
      <c r="R170" t="str">
        <f t="shared" si="13"/>
        <v>Met</v>
      </c>
      <c r="S170" t="s">
        <v>26</v>
      </c>
      <c r="T170" t="s">
        <v>27</v>
      </c>
      <c r="U170">
        <v>6.3</v>
      </c>
      <c r="V170" t="s">
        <v>15</v>
      </c>
      <c r="W170">
        <f t="shared" si="14"/>
        <v>1</v>
      </c>
    </row>
    <row r="171" spans="1:23">
      <c r="A171" t="s">
        <v>258</v>
      </c>
      <c r="B171">
        <v>46114.953703703701</v>
      </c>
      <c r="C171">
        <v>46114.963287395833</v>
      </c>
      <c r="D171">
        <v>46115.208852754629</v>
      </c>
      <c r="E171" t="s">
        <v>75</v>
      </c>
      <c r="F171" t="s">
        <v>3</v>
      </c>
      <c r="G171" t="s">
        <v>76</v>
      </c>
      <c r="H171" t="s">
        <v>109</v>
      </c>
      <c r="I171" t="s">
        <v>92</v>
      </c>
      <c r="J171" t="s">
        <v>25</v>
      </c>
      <c r="K171" t="s">
        <v>68</v>
      </c>
      <c r="L171">
        <v>3</v>
      </c>
      <c r="M171">
        <f t="shared" si="10"/>
        <v>0.23000861116452143</v>
      </c>
      <c r="N171">
        <f t="shared" si="11"/>
        <v>6.1235772222862579</v>
      </c>
      <c r="O171">
        <f>VLOOKUP(F171,SLA_Targets!$A$2:$C$5,2,FALSE)</f>
        <v>0.5</v>
      </c>
      <c r="P171">
        <f>VLOOKUP(F171,SLA_Targets!$A$2:$C$5,3,FALSE)</f>
        <v>4</v>
      </c>
      <c r="Q171" t="str">
        <f t="shared" si="12"/>
        <v>Met</v>
      </c>
      <c r="R171" t="str">
        <f t="shared" si="13"/>
        <v>Breached</v>
      </c>
      <c r="S171" t="s">
        <v>26</v>
      </c>
      <c r="T171" t="s">
        <v>27</v>
      </c>
      <c r="U171">
        <v>6.3</v>
      </c>
      <c r="V171" t="s">
        <v>15</v>
      </c>
      <c r="W171">
        <f t="shared" si="14"/>
        <v>1</v>
      </c>
    </row>
    <row r="172" spans="1:23">
      <c r="A172" t="s">
        <v>259</v>
      </c>
      <c r="B172">
        <v>46121.449803240743</v>
      </c>
      <c r="C172">
        <v>46121.611884976854</v>
      </c>
      <c r="D172">
        <v>46122.56442023148</v>
      </c>
      <c r="E172" t="s">
        <v>75</v>
      </c>
      <c r="F172" t="s">
        <v>5</v>
      </c>
      <c r="G172" t="s">
        <v>79</v>
      </c>
      <c r="H172" t="s">
        <v>84</v>
      </c>
      <c r="I172" t="s">
        <v>73</v>
      </c>
      <c r="J172" t="s">
        <v>12</v>
      </c>
      <c r="K172" t="s">
        <v>68</v>
      </c>
      <c r="L172">
        <v>4</v>
      </c>
      <c r="M172">
        <f t="shared" si="10"/>
        <v>3.8899616666603833</v>
      </c>
      <c r="N172">
        <f t="shared" si="11"/>
        <v>26.750807777687442</v>
      </c>
      <c r="O172">
        <f>VLOOKUP(F172,SLA_Targets!$A$2:$C$5,2,FALSE)</f>
        <v>4</v>
      </c>
      <c r="P172">
        <f>VLOOKUP(F172,SLA_Targets!$A$2:$C$5,3,FALSE)</f>
        <v>24</v>
      </c>
      <c r="Q172" t="str">
        <f t="shared" si="12"/>
        <v>Met</v>
      </c>
      <c r="R172" t="str">
        <f t="shared" si="13"/>
        <v>Breached</v>
      </c>
      <c r="S172" t="s">
        <v>13</v>
      </c>
      <c r="T172" t="s">
        <v>14</v>
      </c>
      <c r="U172">
        <v>4.2</v>
      </c>
      <c r="V172" t="s">
        <v>15</v>
      </c>
      <c r="W172">
        <f t="shared" si="14"/>
        <v>1</v>
      </c>
    </row>
    <row r="173" spans="1:23">
      <c r="A173" t="s">
        <v>260</v>
      </c>
      <c r="B173">
        <v>46136.50271990741</v>
      </c>
      <c r="C173">
        <v>46136.510648715281</v>
      </c>
      <c r="D173">
        <v>46136.552899548609</v>
      </c>
      <c r="E173" t="s">
        <v>75</v>
      </c>
      <c r="F173" t="s">
        <v>3</v>
      </c>
      <c r="G173" t="s">
        <v>65</v>
      </c>
      <c r="H173" t="s">
        <v>80</v>
      </c>
      <c r="I173" t="s">
        <v>89</v>
      </c>
      <c r="J173" t="s">
        <v>23</v>
      </c>
      <c r="K173" t="s">
        <v>68</v>
      </c>
      <c r="L173">
        <v>5</v>
      </c>
      <c r="M173">
        <f t="shared" si="10"/>
        <v>0.19029138889163733</v>
      </c>
      <c r="N173">
        <f t="shared" si="11"/>
        <v>1.2043113887775689</v>
      </c>
      <c r="O173">
        <f>VLOOKUP(F173,SLA_Targets!$A$2:$C$5,2,FALSE)</f>
        <v>0.5</v>
      </c>
      <c r="P173">
        <f>VLOOKUP(F173,SLA_Targets!$A$2:$C$5,3,FALSE)</f>
        <v>4</v>
      </c>
      <c r="Q173" t="str">
        <f t="shared" si="12"/>
        <v>Met</v>
      </c>
      <c r="R173" t="str">
        <f t="shared" si="13"/>
        <v>Met</v>
      </c>
      <c r="S173" t="s">
        <v>24</v>
      </c>
      <c r="T173" t="s">
        <v>21</v>
      </c>
      <c r="U173">
        <v>3.4</v>
      </c>
      <c r="V173" t="s">
        <v>22</v>
      </c>
      <c r="W173">
        <f t="shared" si="14"/>
        <v>1</v>
      </c>
    </row>
    <row r="174" spans="1:23">
      <c r="A174" t="s">
        <v>261</v>
      </c>
      <c r="B174">
        <v>46184.494340277779</v>
      </c>
      <c r="C174">
        <v>46184.66834246528</v>
      </c>
      <c r="D174">
        <v>46185.371906898145</v>
      </c>
      <c r="E174" t="s">
        <v>75</v>
      </c>
      <c r="F174" t="s">
        <v>6</v>
      </c>
      <c r="G174" t="s">
        <v>98</v>
      </c>
      <c r="H174" t="s">
        <v>106</v>
      </c>
      <c r="I174" t="s">
        <v>73</v>
      </c>
      <c r="J174" t="s">
        <v>12</v>
      </c>
      <c r="K174" t="s">
        <v>68</v>
      </c>
      <c r="L174">
        <v>3</v>
      </c>
      <c r="M174">
        <f t="shared" si="10"/>
        <v>4.1760525000281632</v>
      </c>
      <c r="N174">
        <f t="shared" si="11"/>
        <v>21.061598888773005</v>
      </c>
      <c r="O174">
        <f>VLOOKUP(F174,SLA_Targets!$A$2:$C$5,2,FALSE)</f>
        <v>8</v>
      </c>
      <c r="P174">
        <f>VLOOKUP(F174,SLA_Targets!$A$2:$C$5,3,FALSE)</f>
        <v>48</v>
      </c>
      <c r="Q174" t="str">
        <f t="shared" si="12"/>
        <v>Met</v>
      </c>
      <c r="R174" t="str">
        <f t="shared" si="13"/>
        <v>Met</v>
      </c>
      <c r="S174" t="s">
        <v>13</v>
      </c>
      <c r="T174" t="s">
        <v>14</v>
      </c>
      <c r="U174">
        <v>4.2</v>
      </c>
      <c r="V174" t="s">
        <v>15</v>
      </c>
      <c r="W174">
        <f t="shared" si="14"/>
        <v>1</v>
      </c>
    </row>
    <row r="175" spans="1:23">
      <c r="A175" t="s">
        <v>262</v>
      </c>
      <c r="B175">
        <v>46138.102638888886</v>
      </c>
      <c r="C175">
        <v>46138.163831909726</v>
      </c>
      <c r="D175">
        <v>46140.68686603009</v>
      </c>
      <c r="E175" t="s">
        <v>75</v>
      </c>
      <c r="F175" t="s">
        <v>6</v>
      </c>
      <c r="G175" t="s">
        <v>105</v>
      </c>
      <c r="H175" t="s">
        <v>80</v>
      </c>
      <c r="I175" t="s">
        <v>67</v>
      </c>
      <c r="J175" t="s">
        <v>44</v>
      </c>
      <c r="K175" t="s">
        <v>68</v>
      </c>
      <c r="L175">
        <v>3</v>
      </c>
      <c r="M175">
        <f t="shared" si="10"/>
        <v>1.4686325001530349</v>
      </c>
      <c r="N175">
        <f t="shared" si="11"/>
        <v>62.021451388893183</v>
      </c>
      <c r="O175">
        <f>VLOOKUP(F175,SLA_Targets!$A$2:$C$5,2,FALSE)</f>
        <v>8</v>
      </c>
      <c r="P175">
        <f>VLOOKUP(F175,SLA_Targets!$A$2:$C$5,3,FALSE)</f>
        <v>48</v>
      </c>
      <c r="Q175" t="str">
        <f t="shared" si="12"/>
        <v>Met</v>
      </c>
      <c r="R175" t="str">
        <f t="shared" si="13"/>
        <v>Breached</v>
      </c>
      <c r="S175" t="s">
        <v>45</v>
      </c>
      <c r="T175" t="s">
        <v>33</v>
      </c>
      <c r="U175">
        <v>5.0999999999999996</v>
      </c>
      <c r="V175" t="s">
        <v>30</v>
      </c>
      <c r="W175">
        <f t="shared" si="14"/>
        <v>1</v>
      </c>
    </row>
    <row r="176" spans="1:23">
      <c r="A176" t="s">
        <v>263</v>
      </c>
      <c r="B176">
        <v>46168.823969907404</v>
      </c>
      <c r="C176">
        <v>46168.87031888889</v>
      </c>
      <c r="D176">
        <v>46168.973653912035</v>
      </c>
      <c r="E176" t="s">
        <v>75</v>
      </c>
      <c r="F176" t="s">
        <v>5</v>
      </c>
      <c r="G176" t="s">
        <v>94</v>
      </c>
      <c r="H176" t="s">
        <v>84</v>
      </c>
      <c r="I176" t="s">
        <v>67</v>
      </c>
      <c r="J176" t="s">
        <v>12</v>
      </c>
      <c r="K176" t="s">
        <v>85</v>
      </c>
      <c r="L176">
        <v>5</v>
      </c>
      <c r="M176">
        <f t="shared" si="10"/>
        <v>1.1123755556764081</v>
      </c>
      <c r="N176">
        <f t="shared" si="11"/>
        <v>3.5924161111470312</v>
      </c>
      <c r="O176">
        <f>VLOOKUP(F176,SLA_Targets!$A$2:$C$5,2,FALSE)</f>
        <v>4</v>
      </c>
      <c r="P176">
        <f>VLOOKUP(F176,SLA_Targets!$A$2:$C$5,3,FALSE)</f>
        <v>24</v>
      </c>
      <c r="Q176" t="str">
        <f t="shared" si="12"/>
        <v>Met</v>
      </c>
      <c r="R176" t="str">
        <f t="shared" si="13"/>
        <v>Met</v>
      </c>
      <c r="S176" t="s">
        <v>13</v>
      </c>
      <c r="T176" t="s">
        <v>14</v>
      </c>
      <c r="U176">
        <v>4.2</v>
      </c>
      <c r="V176" t="s">
        <v>15</v>
      </c>
      <c r="W176">
        <f t="shared" si="14"/>
        <v>1</v>
      </c>
    </row>
    <row r="177" spans="1:23">
      <c r="A177" t="s">
        <v>264</v>
      </c>
      <c r="B177">
        <v>46132.816562499997</v>
      </c>
      <c r="C177">
        <v>46133.220398437501</v>
      </c>
      <c r="D177">
        <v>46134.155666828701</v>
      </c>
      <c r="E177" t="s">
        <v>70</v>
      </c>
      <c r="F177" t="s">
        <v>5</v>
      </c>
      <c r="G177" t="s">
        <v>79</v>
      </c>
      <c r="H177" t="s">
        <v>66</v>
      </c>
      <c r="I177" t="s">
        <v>73</v>
      </c>
      <c r="J177" t="s">
        <v>37</v>
      </c>
      <c r="K177" t="s">
        <v>85</v>
      </c>
      <c r="L177">
        <v>2</v>
      </c>
      <c r="M177">
        <f t="shared" si="10"/>
        <v>9.6920625001075678</v>
      </c>
      <c r="N177">
        <f t="shared" si="11"/>
        <v>32.138503888912965</v>
      </c>
      <c r="O177">
        <f>VLOOKUP(F177,SLA_Targets!$A$2:$C$5,2,FALSE)</f>
        <v>4</v>
      </c>
      <c r="P177">
        <f>VLOOKUP(F177,SLA_Targets!$A$2:$C$5,3,FALSE)</f>
        <v>24</v>
      </c>
      <c r="Q177" t="str">
        <f t="shared" si="12"/>
        <v>Breached</v>
      </c>
      <c r="R177" t="str">
        <f t="shared" si="13"/>
        <v>Breached</v>
      </c>
      <c r="S177" t="s">
        <v>38</v>
      </c>
      <c r="T177" t="s">
        <v>14</v>
      </c>
      <c r="U177">
        <v>1.2</v>
      </c>
      <c r="V177" t="s">
        <v>39</v>
      </c>
      <c r="W177">
        <f t="shared" si="14"/>
        <v>1</v>
      </c>
    </row>
    <row r="178" spans="1:23">
      <c r="A178" t="s">
        <v>265</v>
      </c>
      <c r="B178">
        <v>46180.661689814813</v>
      </c>
      <c r="C178">
        <v>46180.742901504629</v>
      </c>
      <c r="D178">
        <v>46181.238129861114</v>
      </c>
      <c r="E178" t="s">
        <v>70</v>
      </c>
      <c r="F178" t="s">
        <v>6</v>
      </c>
      <c r="G178" t="s">
        <v>98</v>
      </c>
      <c r="H178" t="s">
        <v>72</v>
      </c>
      <c r="I178" t="s">
        <v>67</v>
      </c>
      <c r="J178" t="s">
        <v>12</v>
      </c>
      <c r="K178" t="s">
        <v>68</v>
      </c>
      <c r="L178">
        <v>4</v>
      </c>
      <c r="M178">
        <f t="shared" si="10"/>
        <v>1.9490805555833504</v>
      </c>
      <c r="N178">
        <f t="shared" si="11"/>
        <v>13.834561111230869</v>
      </c>
      <c r="O178">
        <f>VLOOKUP(F178,SLA_Targets!$A$2:$C$5,2,FALSE)</f>
        <v>8</v>
      </c>
      <c r="P178">
        <f>VLOOKUP(F178,SLA_Targets!$A$2:$C$5,3,FALSE)</f>
        <v>48</v>
      </c>
      <c r="Q178" t="str">
        <f t="shared" si="12"/>
        <v>Met</v>
      </c>
      <c r="R178" t="str">
        <f t="shared" si="13"/>
        <v>Met</v>
      </c>
      <c r="S178" t="s">
        <v>13</v>
      </c>
      <c r="T178" t="s">
        <v>14</v>
      </c>
      <c r="U178">
        <v>4.2</v>
      </c>
      <c r="V178" t="s">
        <v>15</v>
      </c>
      <c r="W178">
        <f t="shared" si="14"/>
        <v>1</v>
      </c>
    </row>
    <row r="179" spans="1:23">
      <c r="A179" t="s">
        <v>266</v>
      </c>
      <c r="B179">
        <v>46122.365324074075</v>
      </c>
      <c r="C179">
        <v>46122.371235763887</v>
      </c>
      <c r="D179">
        <v>46122.444312604166</v>
      </c>
      <c r="E179" t="s">
        <v>75</v>
      </c>
      <c r="F179" t="s">
        <v>3</v>
      </c>
      <c r="G179" t="s">
        <v>65</v>
      </c>
      <c r="H179" t="s">
        <v>72</v>
      </c>
      <c r="I179" t="s">
        <v>92</v>
      </c>
      <c r="J179" t="s">
        <v>42</v>
      </c>
      <c r="K179" t="s">
        <v>68</v>
      </c>
      <c r="L179">
        <v>5</v>
      </c>
      <c r="M179">
        <f t="shared" si="10"/>
        <v>0.14188055548584089</v>
      </c>
      <c r="N179">
        <f t="shared" si="11"/>
        <v>1.8957247221842408</v>
      </c>
      <c r="O179">
        <f>VLOOKUP(F179,SLA_Targets!$A$2:$C$5,2,FALSE)</f>
        <v>0.5</v>
      </c>
      <c r="P179">
        <f>VLOOKUP(F179,SLA_Targets!$A$2:$C$5,3,FALSE)</f>
        <v>4</v>
      </c>
      <c r="Q179" t="str">
        <f t="shared" si="12"/>
        <v>Met</v>
      </c>
      <c r="R179" t="str">
        <f t="shared" si="13"/>
        <v>Met</v>
      </c>
      <c r="S179" t="s">
        <v>43</v>
      </c>
      <c r="T179" t="s">
        <v>21</v>
      </c>
      <c r="U179">
        <v>2.7</v>
      </c>
      <c r="V179" t="s">
        <v>36</v>
      </c>
      <c r="W179">
        <f t="shared" si="14"/>
        <v>1</v>
      </c>
    </row>
    <row r="180" spans="1:23">
      <c r="A180" t="s">
        <v>267</v>
      </c>
      <c r="B180">
        <v>46126.023842592593</v>
      </c>
      <c r="C180">
        <v>46126.054024166668</v>
      </c>
      <c r="D180">
        <v>46126.31120074074</v>
      </c>
      <c r="E180" t="s">
        <v>75</v>
      </c>
      <c r="F180" t="s">
        <v>4</v>
      </c>
      <c r="G180" t="s">
        <v>79</v>
      </c>
      <c r="H180" t="s">
        <v>72</v>
      </c>
      <c r="I180" t="s">
        <v>67</v>
      </c>
      <c r="J180" t="s">
        <v>16</v>
      </c>
      <c r="K180" t="s">
        <v>68</v>
      </c>
      <c r="L180">
        <v>5</v>
      </c>
      <c r="M180">
        <f t="shared" si="10"/>
        <v>0.724357777799014</v>
      </c>
      <c r="N180">
        <f t="shared" si="11"/>
        <v>6.896595555532258</v>
      </c>
      <c r="O180">
        <f>VLOOKUP(F180,SLA_Targets!$A$2:$C$5,2,FALSE)</f>
        <v>1</v>
      </c>
      <c r="P180">
        <f>VLOOKUP(F180,SLA_Targets!$A$2:$C$5,3,FALSE)</f>
        <v>8</v>
      </c>
      <c r="Q180" t="str">
        <f t="shared" si="12"/>
        <v>Met</v>
      </c>
      <c r="R180" t="str">
        <f t="shared" si="13"/>
        <v>Met</v>
      </c>
      <c r="S180" t="s">
        <v>17</v>
      </c>
      <c r="T180" t="s">
        <v>14</v>
      </c>
      <c r="U180">
        <v>2.1</v>
      </c>
      <c r="V180" t="s">
        <v>18</v>
      </c>
      <c r="W180">
        <f t="shared" si="14"/>
        <v>1</v>
      </c>
    </row>
    <row r="181" spans="1:23">
      <c r="A181" t="s">
        <v>268</v>
      </c>
      <c r="B181">
        <v>46157.210127314815</v>
      </c>
      <c r="C181">
        <v>46157.23040226852</v>
      </c>
      <c r="D181">
        <v>46157.521484282406</v>
      </c>
      <c r="E181" t="s">
        <v>75</v>
      </c>
      <c r="F181" t="s">
        <v>4</v>
      </c>
      <c r="G181" t="s">
        <v>79</v>
      </c>
      <c r="H181" t="s">
        <v>80</v>
      </c>
      <c r="I181" t="s">
        <v>67</v>
      </c>
      <c r="J181" t="s">
        <v>12</v>
      </c>
      <c r="K181" t="s">
        <v>68</v>
      </c>
      <c r="L181">
        <v>5</v>
      </c>
      <c r="M181">
        <f t="shared" si="10"/>
        <v>0.48659888893598691</v>
      </c>
      <c r="N181">
        <f t="shared" si="11"/>
        <v>7.4725672221975401</v>
      </c>
      <c r="O181">
        <f>VLOOKUP(F181,SLA_Targets!$A$2:$C$5,2,FALSE)</f>
        <v>1</v>
      </c>
      <c r="P181">
        <f>VLOOKUP(F181,SLA_Targets!$A$2:$C$5,3,FALSE)</f>
        <v>8</v>
      </c>
      <c r="Q181" t="str">
        <f t="shared" si="12"/>
        <v>Met</v>
      </c>
      <c r="R181" t="str">
        <f t="shared" si="13"/>
        <v>Met</v>
      </c>
      <c r="S181" t="s">
        <v>13</v>
      </c>
      <c r="T181" t="s">
        <v>14</v>
      </c>
      <c r="U181">
        <v>4.2</v>
      </c>
      <c r="V181" t="s">
        <v>15</v>
      </c>
      <c r="W181">
        <f t="shared" si="14"/>
        <v>1</v>
      </c>
    </row>
    <row r="182" spans="1:23">
      <c r="A182" t="s">
        <v>269</v>
      </c>
      <c r="B182">
        <v>46118.085960648146</v>
      </c>
      <c r="C182">
        <v>46118.124546527775</v>
      </c>
      <c r="D182">
        <v>46118.461152638891</v>
      </c>
      <c r="E182" t="s">
        <v>70</v>
      </c>
      <c r="F182" t="s">
        <v>4</v>
      </c>
      <c r="G182" t="s">
        <v>105</v>
      </c>
      <c r="H182" t="s">
        <v>109</v>
      </c>
      <c r="I182" t="s">
        <v>67</v>
      </c>
      <c r="J182" t="s">
        <v>31</v>
      </c>
      <c r="K182" t="s">
        <v>68</v>
      </c>
      <c r="L182">
        <v>4</v>
      </c>
      <c r="M182">
        <f t="shared" si="10"/>
        <v>0.92606111109489575</v>
      </c>
      <c r="N182">
        <f t="shared" si="11"/>
        <v>9.0046077778679319</v>
      </c>
      <c r="O182">
        <f>VLOOKUP(F182,SLA_Targets!$A$2:$C$5,2,FALSE)</f>
        <v>1</v>
      </c>
      <c r="P182">
        <f>VLOOKUP(F182,SLA_Targets!$A$2:$C$5,3,FALSE)</f>
        <v>8</v>
      </c>
      <c r="Q182" t="str">
        <f t="shared" si="12"/>
        <v>Met</v>
      </c>
      <c r="R182" t="str">
        <f t="shared" si="13"/>
        <v>Breached</v>
      </c>
      <c r="S182" t="s">
        <v>32</v>
      </c>
      <c r="T182" t="s">
        <v>33</v>
      </c>
      <c r="U182">
        <v>7.1</v>
      </c>
      <c r="V182" t="s">
        <v>18</v>
      </c>
      <c r="W182">
        <f t="shared" si="14"/>
        <v>1</v>
      </c>
    </row>
    <row r="183" spans="1:23">
      <c r="A183" t="s">
        <v>270</v>
      </c>
      <c r="B183">
        <v>46132.570138888892</v>
      </c>
      <c r="C183">
        <v>46132.623591979165</v>
      </c>
      <c r="D183">
        <v>46133.500741469907</v>
      </c>
      <c r="E183" t="s">
        <v>70</v>
      </c>
      <c r="F183" t="s">
        <v>5</v>
      </c>
      <c r="G183" t="s">
        <v>98</v>
      </c>
      <c r="H183" t="s">
        <v>80</v>
      </c>
      <c r="I183" t="s">
        <v>92</v>
      </c>
      <c r="J183" t="s">
        <v>37</v>
      </c>
      <c r="K183" t="s">
        <v>68</v>
      </c>
      <c r="L183">
        <v>5</v>
      </c>
      <c r="M183">
        <f t="shared" si="10"/>
        <v>1.282874166558031</v>
      </c>
      <c r="N183">
        <f t="shared" si="11"/>
        <v>22.33446194435237</v>
      </c>
      <c r="O183">
        <f>VLOOKUP(F183,SLA_Targets!$A$2:$C$5,2,FALSE)</f>
        <v>4</v>
      </c>
      <c r="P183">
        <f>VLOOKUP(F183,SLA_Targets!$A$2:$C$5,3,FALSE)</f>
        <v>24</v>
      </c>
      <c r="Q183" t="str">
        <f t="shared" si="12"/>
        <v>Met</v>
      </c>
      <c r="R183" t="str">
        <f t="shared" si="13"/>
        <v>Met</v>
      </c>
      <c r="S183" t="s">
        <v>38</v>
      </c>
      <c r="T183" t="s">
        <v>14</v>
      </c>
      <c r="U183">
        <v>1.2</v>
      </c>
      <c r="V183" t="s">
        <v>39</v>
      </c>
      <c r="W183">
        <f t="shared" si="14"/>
        <v>1</v>
      </c>
    </row>
    <row r="184" spans="1:23">
      <c r="A184" t="s">
        <v>271</v>
      </c>
      <c r="B184">
        <v>46203.057615740741</v>
      </c>
      <c r="C184">
        <v>46203.341280381945</v>
      </c>
      <c r="D184">
        <v>46206.114563703704</v>
      </c>
      <c r="E184" t="s">
        <v>75</v>
      </c>
      <c r="F184" t="s">
        <v>6</v>
      </c>
      <c r="G184" t="s">
        <v>76</v>
      </c>
      <c r="H184" t="s">
        <v>77</v>
      </c>
      <c r="I184" t="s">
        <v>73</v>
      </c>
      <c r="J184" t="s">
        <v>28</v>
      </c>
      <c r="K184" t="s">
        <v>68</v>
      </c>
      <c r="L184">
        <v>4</v>
      </c>
      <c r="M184">
        <f t="shared" si="10"/>
        <v>6.8079513888806105</v>
      </c>
      <c r="N184">
        <f t="shared" si="11"/>
        <v>73.366751111112535</v>
      </c>
      <c r="O184">
        <f>VLOOKUP(F184,SLA_Targets!$A$2:$C$5,2,FALSE)</f>
        <v>8</v>
      </c>
      <c r="P184">
        <f>VLOOKUP(F184,SLA_Targets!$A$2:$C$5,3,FALSE)</f>
        <v>48</v>
      </c>
      <c r="Q184" t="str">
        <f t="shared" si="12"/>
        <v>Met</v>
      </c>
      <c r="R184" t="str">
        <f t="shared" si="13"/>
        <v>Breached</v>
      </c>
      <c r="S184" t="s">
        <v>29</v>
      </c>
      <c r="T184" t="s">
        <v>27</v>
      </c>
      <c r="U184">
        <v>1.8</v>
      </c>
      <c r="V184" t="s">
        <v>30</v>
      </c>
      <c r="W184">
        <f t="shared" si="14"/>
        <v>1</v>
      </c>
    </row>
    <row r="185" spans="1:23">
      <c r="A185" t="s">
        <v>272</v>
      </c>
      <c r="B185">
        <v>46173.235868055555</v>
      </c>
      <c r="C185">
        <v>46173.269076585646</v>
      </c>
      <c r="D185">
        <v>46173.833989155093</v>
      </c>
      <c r="E185" t="s">
        <v>70</v>
      </c>
      <c r="F185" t="s">
        <v>4</v>
      </c>
      <c r="G185" t="s">
        <v>79</v>
      </c>
      <c r="H185" t="s">
        <v>77</v>
      </c>
      <c r="I185" t="s">
        <v>73</v>
      </c>
      <c r="J185" t="s">
        <v>16</v>
      </c>
      <c r="K185" t="s">
        <v>68</v>
      </c>
      <c r="L185">
        <v>4</v>
      </c>
      <c r="M185">
        <f t="shared" si="10"/>
        <v>0.79700472217518836</v>
      </c>
      <c r="N185">
        <f t="shared" si="11"/>
        <v>14.354906388907693</v>
      </c>
      <c r="O185">
        <f>VLOOKUP(F185,SLA_Targets!$A$2:$C$5,2,FALSE)</f>
        <v>1</v>
      </c>
      <c r="P185">
        <f>VLOOKUP(F185,SLA_Targets!$A$2:$C$5,3,FALSE)</f>
        <v>8</v>
      </c>
      <c r="Q185" t="str">
        <f t="shared" si="12"/>
        <v>Met</v>
      </c>
      <c r="R185" t="str">
        <f t="shared" si="13"/>
        <v>Breached</v>
      </c>
      <c r="S185" t="s">
        <v>17</v>
      </c>
      <c r="T185" t="s">
        <v>14</v>
      </c>
      <c r="U185">
        <v>2.1</v>
      </c>
      <c r="V185" t="s">
        <v>18</v>
      </c>
      <c r="W185">
        <f t="shared" si="14"/>
        <v>1</v>
      </c>
    </row>
    <row r="186" spans="1:23">
      <c r="A186" t="s">
        <v>273</v>
      </c>
      <c r="B186">
        <v>46182.59474537037</v>
      </c>
      <c r="C186">
        <v>46182.684859293979</v>
      </c>
      <c r="D186">
        <v>46183.100927662039</v>
      </c>
      <c r="E186" t="s">
        <v>70</v>
      </c>
      <c r="F186" t="s">
        <v>5</v>
      </c>
      <c r="G186" t="s">
        <v>94</v>
      </c>
      <c r="H186" t="s">
        <v>106</v>
      </c>
      <c r="I186" t="s">
        <v>89</v>
      </c>
      <c r="J186" t="s">
        <v>16</v>
      </c>
      <c r="K186" t="s">
        <v>85</v>
      </c>
      <c r="L186">
        <v>4</v>
      </c>
      <c r="M186">
        <f t="shared" si="10"/>
        <v>2.1627341666026041</v>
      </c>
      <c r="N186">
        <f t="shared" si="11"/>
        <v>12.148375000047963</v>
      </c>
      <c r="O186">
        <f>VLOOKUP(F186,SLA_Targets!$A$2:$C$5,2,FALSE)</f>
        <v>4</v>
      </c>
      <c r="P186">
        <f>VLOOKUP(F186,SLA_Targets!$A$2:$C$5,3,FALSE)</f>
        <v>24</v>
      </c>
      <c r="Q186" t="str">
        <f t="shared" si="12"/>
        <v>Met</v>
      </c>
      <c r="R186" t="str">
        <f t="shared" si="13"/>
        <v>Met</v>
      </c>
      <c r="S186" t="s">
        <v>17</v>
      </c>
      <c r="T186" t="s">
        <v>14</v>
      </c>
      <c r="U186">
        <v>2.1</v>
      </c>
      <c r="V186" t="s">
        <v>18</v>
      </c>
      <c r="W186">
        <f t="shared" si="14"/>
        <v>1</v>
      </c>
    </row>
    <row r="187" spans="1:23">
      <c r="A187" t="s">
        <v>274</v>
      </c>
      <c r="B187">
        <v>46159.129340277781</v>
      </c>
      <c r="C187">
        <v>46159.200566226849</v>
      </c>
      <c r="D187">
        <v>46161.128771249998</v>
      </c>
      <c r="E187" t="s">
        <v>70</v>
      </c>
      <c r="F187" t="s">
        <v>5</v>
      </c>
      <c r="G187" t="s">
        <v>71</v>
      </c>
      <c r="H187" t="s">
        <v>84</v>
      </c>
      <c r="I187" t="s">
        <v>73</v>
      </c>
      <c r="J187" t="s">
        <v>25</v>
      </c>
      <c r="K187" t="s">
        <v>68</v>
      </c>
      <c r="L187">
        <v>4</v>
      </c>
      <c r="M187">
        <f t="shared" si="10"/>
        <v>1.709422777639702</v>
      </c>
      <c r="N187">
        <f t="shared" si="11"/>
        <v>47.986343333206605</v>
      </c>
      <c r="O187">
        <f>VLOOKUP(F187,SLA_Targets!$A$2:$C$5,2,FALSE)</f>
        <v>4</v>
      </c>
      <c r="P187">
        <f>VLOOKUP(F187,SLA_Targets!$A$2:$C$5,3,FALSE)</f>
        <v>24</v>
      </c>
      <c r="Q187" t="str">
        <f t="shared" si="12"/>
        <v>Met</v>
      </c>
      <c r="R187" t="str">
        <f t="shared" si="13"/>
        <v>Breached</v>
      </c>
      <c r="S187" t="s">
        <v>26</v>
      </c>
      <c r="T187" t="s">
        <v>27</v>
      </c>
      <c r="U187">
        <v>6.3</v>
      </c>
      <c r="V187" t="s">
        <v>15</v>
      </c>
      <c r="W187">
        <f t="shared" si="14"/>
        <v>1</v>
      </c>
    </row>
    <row r="188" spans="1:23">
      <c r="A188" t="s">
        <v>275</v>
      </c>
      <c r="B188">
        <v>46194.813726851855</v>
      </c>
      <c r="C188">
        <v>46194.82871144676</v>
      </c>
      <c r="D188">
        <v>46195.083844456021</v>
      </c>
      <c r="E188" t="s">
        <v>75</v>
      </c>
      <c r="F188" t="s">
        <v>3</v>
      </c>
      <c r="G188" t="s">
        <v>83</v>
      </c>
      <c r="H188" t="s">
        <v>106</v>
      </c>
      <c r="I188" t="s">
        <v>89</v>
      </c>
      <c r="J188" t="s">
        <v>31</v>
      </c>
      <c r="K188" t="s">
        <v>85</v>
      </c>
      <c r="L188">
        <v>3</v>
      </c>
      <c r="M188">
        <f t="shared" si="10"/>
        <v>0.35963027772959322</v>
      </c>
      <c r="N188">
        <f t="shared" si="11"/>
        <v>6.4828224999946542</v>
      </c>
      <c r="O188">
        <f>VLOOKUP(F188,SLA_Targets!$A$2:$C$5,2,FALSE)</f>
        <v>0.5</v>
      </c>
      <c r="P188">
        <f>VLOOKUP(F188,SLA_Targets!$A$2:$C$5,3,FALSE)</f>
        <v>4</v>
      </c>
      <c r="Q188" t="str">
        <f t="shared" si="12"/>
        <v>Met</v>
      </c>
      <c r="R188" t="str">
        <f t="shared" si="13"/>
        <v>Breached</v>
      </c>
      <c r="S188" t="s">
        <v>32</v>
      </c>
      <c r="T188" t="s">
        <v>33</v>
      </c>
      <c r="U188">
        <v>7.1</v>
      </c>
      <c r="V188" t="s">
        <v>18</v>
      </c>
      <c r="W188">
        <f t="shared" si="14"/>
        <v>1</v>
      </c>
    </row>
    <row r="189" spans="1:23">
      <c r="A189" t="s">
        <v>276</v>
      </c>
      <c r="B189">
        <v>46135.918819444443</v>
      </c>
      <c r="C189">
        <v>46135.930105740743</v>
      </c>
      <c r="E189" t="s">
        <v>64</v>
      </c>
      <c r="F189" t="s">
        <v>3</v>
      </c>
      <c r="G189" t="s">
        <v>76</v>
      </c>
      <c r="H189" t="s">
        <v>109</v>
      </c>
      <c r="I189" t="s">
        <v>92</v>
      </c>
      <c r="J189" t="s">
        <v>28</v>
      </c>
      <c r="K189" t="s">
        <v>68</v>
      </c>
      <c r="M189">
        <f t="shared" si="10"/>
        <v>0.27087111119180918</v>
      </c>
      <c r="N189" t="str">
        <f t="shared" si="11"/>
        <v/>
      </c>
      <c r="O189">
        <f>VLOOKUP(F189,SLA_Targets!$A$2:$C$5,2,FALSE)</f>
        <v>0.5</v>
      </c>
      <c r="P189">
        <f>VLOOKUP(F189,SLA_Targets!$A$2:$C$5,3,FALSE)</f>
        <v>4</v>
      </c>
      <c r="Q189" t="str">
        <f t="shared" si="12"/>
        <v>Met</v>
      </c>
      <c r="R189" t="str">
        <f t="shared" si="13"/>
        <v>Pending</v>
      </c>
      <c r="S189" t="s">
        <v>29</v>
      </c>
      <c r="T189" t="s">
        <v>27</v>
      </c>
      <c r="U189">
        <v>1.8</v>
      </c>
      <c r="V189" t="s">
        <v>30</v>
      </c>
      <c r="W189">
        <f t="shared" si="14"/>
        <v>1</v>
      </c>
    </row>
    <row r="190" spans="1:23">
      <c r="A190" t="s">
        <v>277</v>
      </c>
      <c r="B190">
        <v>46188.516863425924</v>
      </c>
      <c r="C190">
        <v>46188.547748379628</v>
      </c>
      <c r="D190">
        <v>46188.656847453705</v>
      </c>
      <c r="E190" t="s">
        <v>70</v>
      </c>
      <c r="F190" t="s">
        <v>4</v>
      </c>
      <c r="G190" t="s">
        <v>65</v>
      </c>
      <c r="H190" t="s">
        <v>80</v>
      </c>
      <c r="I190" t="s">
        <v>89</v>
      </c>
      <c r="J190" t="s">
        <v>23</v>
      </c>
      <c r="K190" t="s">
        <v>68</v>
      </c>
      <c r="L190">
        <v>4</v>
      </c>
      <c r="M190">
        <f t="shared" si="10"/>
        <v>0.74123888887697831</v>
      </c>
      <c r="N190">
        <f t="shared" si="11"/>
        <v>3.3596166667412035</v>
      </c>
      <c r="O190">
        <f>VLOOKUP(F190,SLA_Targets!$A$2:$C$5,2,FALSE)</f>
        <v>1</v>
      </c>
      <c r="P190">
        <f>VLOOKUP(F190,SLA_Targets!$A$2:$C$5,3,FALSE)</f>
        <v>8</v>
      </c>
      <c r="Q190" t="str">
        <f t="shared" si="12"/>
        <v>Met</v>
      </c>
      <c r="R190" t="str">
        <f t="shared" si="13"/>
        <v>Met</v>
      </c>
      <c r="S190" t="s">
        <v>24</v>
      </c>
      <c r="T190" t="s">
        <v>21</v>
      </c>
      <c r="U190">
        <v>3.4</v>
      </c>
      <c r="V190" t="s">
        <v>22</v>
      </c>
      <c r="W190">
        <f t="shared" si="14"/>
        <v>1</v>
      </c>
    </row>
    <row r="191" spans="1:23">
      <c r="A191" t="s">
        <v>278</v>
      </c>
      <c r="B191">
        <v>46144.138495370367</v>
      </c>
      <c r="C191">
        <v>46144.352101550925</v>
      </c>
      <c r="D191">
        <v>46145.249555555558</v>
      </c>
      <c r="E191" t="s">
        <v>75</v>
      </c>
      <c r="F191" t="s">
        <v>6</v>
      </c>
      <c r="G191" t="s">
        <v>65</v>
      </c>
      <c r="H191" t="s">
        <v>106</v>
      </c>
      <c r="I191" t="s">
        <v>89</v>
      </c>
      <c r="J191" t="s">
        <v>42</v>
      </c>
      <c r="K191" t="s">
        <v>68</v>
      </c>
      <c r="L191">
        <v>4</v>
      </c>
      <c r="M191">
        <f t="shared" si="10"/>
        <v>5.1265483333845623</v>
      </c>
      <c r="N191">
        <f t="shared" si="11"/>
        <v>26.66544444457395</v>
      </c>
      <c r="O191">
        <f>VLOOKUP(F191,SLA_Targets!$A$2:$C$5,2,FALSE)</f>
        <v>8</v>
      </c>
      <c r="P191">
        <f>VLOOKUP(F191,SLA_Targets!$A$2:$C$5,3,FALSE)</f>
        <v>48</v>
      </c>
      <c r="Q191" t="str">
        <f t="shared" si="12"/>
        <v>Met</v>
      </c>
      <c r="R191" t="str">
        <f t="shared" si="13"/>
        <v>Met</v>
      </c>
      <c r="S191" t="s">
        <v>43</v>
      </c>
      <c r="T191" t="s">
        <v>21</v>
      </c>
      <c r="U191">
        <v>2.7</v>
      </c>
      <c r="V191" t="s">
        <v>36</v>
      </c>
      <c r="W191">
        <f t="shared" si="14"/>
        <v>1</v>
      </c>
    </row>
    <row r="192" spans="1:23">
      <c r="A192" t="s">
        <v>279</v>
      </c>
      <c r="B192">
        <v>46168.950069444443</v>
      </c>
      <c r="C192">
        <v>46169.090236782409</v>
      </c>
      <c r="D192">
        <v>46170.809790740743</v>
      </c>
      <c r="E192" t="s">
        <v>75</v>
      </c>
      <c r="F192" t="s">
        <v>6</v>
      </c>
      <c r="G192" t="s">
        <v>94</v>
      </c>
      <c r="H192" t="s">
        <v>109</v>
      </c>
      <c r="I192" t="s">
        <v>89</v>
      </c>
      <c r="J192" t="s">
        <v>37</v>
      </c>
      <c r="K192" t="s">
        <v>68</v>
      </c>
      <c r="L192">
        <v>5</v>
      </c>
      <c r="M192">
        <f t="shared" si="10"/>
        <v>3.3640161111834459</v>
      </c>
      <c r="N192">
        <f t="shared" si="11"/>
        <v>44.633311111188959</v>
      </c>
      <c r="O192">
        <f>VLOOKUP(F192,SLA_Targets!$A$2:$C$5,2,FALSE)</f>
        <v>8</v>
      </c>
      <c r="P192">
        <f>VLOOKUP(F192,SLA_Targets!$A$2:$C$5,3,FALSE)</f>
        <v>48</v>
      </c>
      <c r="Q192" t="str">
        <f t="shared" si="12"/>
        <v>Met</v>
      </c>
      <c r="R192" t="str">
        <f t="shared" si="13"/>
        <v>Met</v>
      </c>
      <c r="S192" t="s">
        <v>38</v>
      </c>
      <c r="T192" t="s">
        <v>14</v>
      </c>
      <c r="U192">
        <v>1.2</v>
      </c>
      <c r="V192" t="s">
        <v>39</v>
      </c>
      <c r="W192">
        <f t="shared" si="14"/>
        <v>1</v>
      </c>
    </row>
    <row r="193" spans="1:23">
      <c r="A193" t="s">
        <v>280</v>
      </c>
      <c r="B193">
        <v>46175.384039351855</v>
      </c>
      <c r="C193">
        <v>46175.4023259838</v>
      </c>
      <c r="D193">
        <v>46175.539116423613</v>
      </c>
      <c r="E193" t="s">
        <v>70</v>
      </c>
      <c r="F193" t="s">
        <v>4</v>
      </c>
      <c r="G193" t="s">
        <v>105</v>
      </c>
      <c r="H193" t="s">
        <v>88</v>
      </c>
      <c r="I193" t="s">
        <v>73</v>
      </c>
      <c r="J193" t="s">
        <v>31</v>
      </c>
      <c r="K193" t="s">
        <v>68</v>
      </c>
      <c r="L193">
        <v>5</v>
      </c>
      <c r="M193">
        <f t="shared" si="10"/>
        <v>0.43887916667154059</v>
      </c>
      <c r="N193">
        <f t="shared" si="11"/>
        <v>3.7218497222056612</v>
      </c>
      <c r="O193">
        <f>VLOOKUP(F193,SLA_Targets!$A$2:$C$5,2,FALSE)</f>
        <v>1</v>
      </c>
      <c r="P193">
        <f>VLOOKUP(F193,SLA_Targets!$A$2:$C$5,3,FALSE)</f>
        <v>8</v>
      </c>
      <c r="Q193" t="str">
        <f t="shared" si="12"/>
        <v>Met</v>
      </c>
      <c r="R193" t="str">
        <f t="shared" si="13"/>
        <v>Met</v>
      </c>
      <c r="S193" t="s">
        <v>32</v>
      </c>
      <c r="T193" t="s">
        <v>33</v>
      </c>
      <c r="U193">
        <v>7.1</v>
      </c>
      <c r="V193" t="s">
        <v>18</v>
      </c>
      <c r="W193">
        <f t="shared" si="14"/>
        <v>1</v>
      </c>
    </row>
    <row r="194" spans="1:23">
      <c r="A194" t="s">
        <v>281</v>
      </c>
      <c r="B194">
        <v>46150.102673611109</v>
      </c>
      <c r="C194">
        <v>46150.164147719908</v>
      </c>
      <c r="D194">
        <v>46151.077186817129</v>
      </c>
      <c r="E194" t="s">
        <v>70</v>
      </c>
      <c r="F194" t="s">
        <v>5</v>
      </c>
      <c r="G194" t="s">
        <v>94</v>
      </c>
      <c r="H194" t="s">
        <v>66</v>
      </c>
      <c r="I194" t="s">
        <v>73</v>
      </c>
      <c r="J194" t="s">
        <v>16</v>
      </c>
      <c r="K194" t="s">
        <v>68</v>
      </c>
      <c r="L194">
        <v>4</v>
      </c>
      <c r="M194">
        <f t="shared" ref="M194:M257" si="15">IF(OR(B194="",C194=""),"",24*(C194-B194))</f>
        <v>1.4753786111832596</v>
      </c>
      <c r="N194">
        <f t="shared" ref="N194:N257" si="16">IF(OR(B194="",D194=""),"",24*(D194-B194))</f>
        <v>23.388316944474354</v>
      </c>
      <c r="O194">
        <f>VLOOKUP(F194,SLA_Targets!$A$2:$C$5,2,FALSE)</f>
        <v>4</v>
      </c>
      <c r="P194">
        <f>VLOOKUP(F194,SLA_Targets!$A$2:$C$5,3,FALSE)</f>
        <v>24</v>
      </c>
      <c r="Q194" t="str">
        <f t="shared" ref="Q194:Q257" si="17">IF(M194="","Pending",IF(M194&lt;=O194,"Met","Breached"))</f>
        <v>Met</v>
      </c>
      <c r="R194" t="str">
        <f t="shared" ref="R194:R257" si="18">IF(N194="","Pending",IF(N194&lt;=P194,"Met","Breached"))</f>
        <v>Met</v>
      </c>
      <c r="S194" t="s">
        <v>17</v>
      </c>
      <c r="T194" t="s">
        <v>14</v>
      </c>
      <c r="U194">
        <v>2.1</v>
      </c>
      <c r="V194" t="s">
        <v>18</v>
      </c>
      <c r="W194">
        <f t="shared" ref="W194:W257" si="19">COUNTIF($A$2:$A$321,A194)</f>
        <v>1</v>
      </c>
    </row>
    <row r="195" spans="1:23">
      <c r="A195" t="s">
        <v>282</v>
      </c>
      <c r="B195">
        <v>46200.056990740741</v>
      </c>
      <c r="C195">
        <v>46200.066643229169</v>
      </c>
      <c r="D195">
        <v>46200.311291828701</v>
      </c>
      <c r="E195" t="s">
        <v>75</v>
      </c>
      <c r="F195" t="s">
        <v>3</v>
      </c>
      <c r="G195" t="s">
        <v>71</v>
      </c>
      <c r="H195" t="s">
        <v>84</v>
      </c>
      <c r="I195" t="s">
        <v>92</v>
      </c>
      <c r="J195" t="s">
        <v>40</v>
      </c>
      <c r="K195" t="s">
        <v>68</v>
      </c>
      <c r="L195">
        <v>5</v>
      </c>
      <c r="M195">
        <f t="shared" si="15"/>
        <v>0.23165972228161991</v>
      </c>
      <c r="N195">
        <f t="shared" si="16"/>
        <v>6.1032261110376567</v>
      </c>
      <c r="O195">
        <f>VLOOKUP(F195,SLA_Targets!$A$2:$C$5,2,FALSE)</f>
        <v>0.5</v>
      </c>
      <c r="P195">
        <f>VLOOKUP(F195,SLA_Targets!$A$2:$C$5,3,FALSE)</f>
        <v>4</v>
      </c>
      <c r="Q195" t="str">
        <f t="shared" si="17"/>
        <v>Met</v>
      </c>
      <c r="R195" t="str">
        <f t="shared" si="18"/>
        <v>Breached</v>
      </c>
      <c r="S195" t="s">
        <v>41</v>
      </c>
      <c r="T195" t="s">
        <v>27</v>
      </c>
      <c r="U195">
        <v>4.8</v>
      </c>
      <c r="V195" t="s">
        <v>39</v>
      </c>
      <c r="W195">
        <f t="shared" si="19"/>
        <v>1</v>
      </c>
    </row>
    <row r="196" spans="1:23">
      <c r="A196" t="s">
        <v>283</v>
      </c>
      <c r="B196">
        <v>46136.396979166668</v>
      </c>
      <c r="C196">
        <v>46136.4355946875</v>
      </c>
      <c r="D196">
        <v>46136.54290699074</v>
      </c>
      <c r="E196" t="s">
        <v>75</v>
      </c>
      <c r="F196" t="s">
        <v>4</v>
      </c>
      <c r="G196" t="s">
        <v>65</v>
      </c>
      <c r="H196" t="s">
        <v>77</v>
      </c>
      <c r="I196" t="s">
        <v>73</v>
      </c>
      <c r="J196" t="s">
        <v>42</v>
      </c>
      <c r="K196" t="s">
        <v>68</v>
      </c>
      <c r="L196">
        <v>4</v>
      </c>
      <c r="M196">
        <f t="shared" si="15"/>
        <v>0.92677249998087063</v>
      </c>
      <c r="N196">
        <f t="shared" si="16"/>
        <v>3.5022677777451463</v>
      </c>
      <c r="O196">
        <f>VLOOKUP(F196,SLA_Targets!$A$2:$C$5,2,FALSE)</f>
        <v>1</v>
      </c>
      <c r="P196">
        <f>VLOOKUP(F196,SLA_Targets!$A$2:$C$5,3,FALSE)</f>
        <v>8</v>
      </c>
      <c r="Q196" t="str">
        <f t="shared" si="17"/>
        <v>Met</v>
      </c>
      <c r="R196" t="str">
        <f t="shared" si="18"/>
        <v>Met</v>
      </c>
      <c r="S196" t="s">
        <v>43</v>
      </c>
      <c r="T196" t="s">
        <v>21</v>
      </c>
      <c r="U196">
        <v>2.7</v>
      </c>
      <c r="V196" t="s">
        <v>36</v>
      </c>
      <c r="W196">
        <f t="shared" si="19"/>
        <v>1</v>
      </c>
    </row>
    <row r="197" spans="1:23">
      <c r="A197" t="s">
        <v>284</v>
      </c>
      <c r="B197">
        <v>46189.537280092591</v>
      </c>
      <c r="C197">
        <v>46189.632046226849</v>
      </c>
      <c r="E197" t="s">
        <v>132</v>
      </c>
      <c r="F197" t="s">
        <v>5</v>
      </c>
      <c r="G197" t="s">
        <v>94</v>
      </c>
      <c r="H197" t="s">
        <v>88</v>
      </c>
      <c r="I197" t="s">
        <v>89</v>
      </c>
      <c r="J197" t="s">
        <v>37</v>
      </c>
      <c r="K197" t="s">
        <v>68</v>
      </c>
      <c r="M197">
        <f t="shared" si="15"/>
        <v>2.2743872221908532</v>
      </c>
      <c r="N197" t="str">
        <f t="shared" si="16"/>
        <v/>
      </c>
      <c r="O197">
        <f>VLOOKUP(F197,SLA_Targets!$A$2:$C$5,2,FALSE)</f>
        <v>4</v>
      </c>
      <c r="P197">
        <f>VLOOKUP(F197,SLA_Targets!$A$2:$C$5,3,FALSE)</f>
        <v>24</v>
      </c>
      <c r="Q197" t="str">
        <f t="shared" si="17"/>
        <v>Met</v>
      </c>
      <c r="R197" t="str">
        <f t="shared" si="18"/>
        <v>Pending</v>
      </c>
      <c r="S197" t="s">
        <v>38</v>
      </c>
      <c r="T197" t="s">
        <v>14</v>
      </c>
      <c r="U197">
        <v>1.2</v>
      </c>
      <c r="V197" t="s">
        <v>39</v>
      </c>
      <c r="W197">
        <f t="shared" si="19"/>
        <v>1</v>
      </c>
    </row>
    <row r="198" spans="1:23">
      <c r="A198" t="s">
        <v>285</v>
      </c>
      <c r="B198">
        <v>46158.485972222225</v>
      </c>
      <c r="C198">
        <v>46158.854811921294</v>
      </c>
      <c r="D198">
        <v>46159.812934525464</v>
      </c>
      <c r="E198" t="s">
        <v>75</v>
      </c>
      <c r="F198" t="s">
        <v>6</v>
      </c>
      <c r="G198" t="s">
        <v>79</v>
      </c>
      <c r="H198" t="s">
        <v>109</v>
      </c>
      <c r="I198" t="s">
        <v>67</v>
      </c>
      <c r="J198" t="s">
        <v>37</v>
      </c>
      <c r="K198" t="s">
        <v>68</v>
      </c>
      <c r="L198">
        <v>4</v>
      </c>
      <c r="M198">
        <f t="shared" si="15"/>
        <v>8.8521527776611038</v>
      </c>
      <c r="N198">
        <f t="shared" si="16"/>
        <v>31.847095277742483</v>
      </c>
      <c r="O198">
        <f>VLOOKUP(F198,SLA_Targets!$A$2:$C$5,2,FALSE)</f>
        <v>8</v>
      </c>
      <c r="P198">
        <f>VLOOKUP(F198,SLA_Targets!$A$2:$C$5,3,FALSE)</f>
        <v>48</v>
      </c>
      <c r="Q198" t="str">
        <f t="shared" si="17"/>
        <v>Breached</v>
      </c>
      <c r="R198" t="str">
        <f t="shared" si="18"/>
        <v>Met</v>
      </c>
      <c r="S198" t="s">
        <v>38</v>
      </c>
      <c r="T198" t="s">
        <v>14</v>
      </c>
      <c r="U198">
        <v>1.2</v>
      </c>
      <c r="V198" t="s">
        <v>39</v>
      </c>
      <c r="W198">
        <f t="shared" si="19"/>
        <v>1</v>
      </c>
    </row>
    <row r="199" spans="1:23">
      <c r="A199" t="s">
        <v>286</v>
      </c>
      <c r="B199">
        <v>46194.966631944444</v>
      </c>
      <c r="C199">
        <v>46195.074126261577</v>
      </c>
      <c r="D199">
        <v>46195.666688310186</v>
      </c>
      <c r="E199" t="s">
        <v>75</v>
      </c>
      <c r="F199" t="s">
        <v>5</v>
      </c>
      <c r="G199" t="s">
        <v>94</v>
      </c>
      <c r="H199" t="s">
        <v>77</v>
      </c>
      <c r="I199" t="s">
        <v>92</v>
      </c>
      <c r="J199" t="s">
        <v>37</v>
      </c>
      <c r="K199" t="s">
        <v>68</v>
      </c>
      <c r="L199">
        <v>5</v>
      </c>
      <c r="M199">
        <f t="shared" si="15"/>
        <v>2.57986361120129</v>
      </c>
      <c r="N199">
        <f t="shared" si="16"/>
        <v>16.80135277780937</v>
      </c>
      <c r="O199">
        <f>VLOOKUP(F199,SLA_Targets!$A$2:$C$5,2,FALSE)</f>
        <v>4</v>
      </c>
      <c r="P199">
        <f>VLOOKUP(F199,SLA_Targets!$A$2:$C$5,3,FALSE)</f>
        <v>24</v>
      </c>
      <c r="Q199" t="str">
        <f t="shared" si="17"/>
        <v>Met</v>
      </c>
      <c r="R199" t="str">
        <f t="shared" si="18"/>
        <v>Met</v>
      </c>
      <c r="S199" t="s">
        <v>38</v>
      </c>
      <c r="T199" t="s">
        <v>14</v>
      </c>
      <c r="U199">
        <v>1.2</v>
      </c>
      <c r="V199" t="s">
        <v>39</v>
      </c>
      <c r="W199">
        <f t="shared" si="19"/>
        <v>1</v>
      </c>
    </row>
    <row r="200" spans="1:23">
      <c r="A200" t="s">
        <v>287</v>
      </c>
      <c r="B200">
        <v>46130.118206018517</v>
      </c>
      <c r="C200">
        <v>46130.124701527777</v>
      </c>
      <c r="D200">
        <v>46130.189478252316</v>
      </c>
      <c r="E200" t="s">
        <v>75</v>
      </c>
      <c r="F200" t="s">
        <v>3</v>
      </c>
      <c r="G200" t="s">
        <v>83</v>
      </c>
      <c r="H200" t="s">
        <v>66</v>
      </c>
      <c r="I200" t="s">
        <v>73</v>
      </c>
      <c r="J200" t="s">
        <v>31</v>
      </c>
      <c r="K200" t="s">
        <v>68</v>
      </c>
      <c r="L200">
        <v>5</v>
      </c>
      <c r="M200">
        <f t="shared" si="15"/>
        <v>0.1558922222466208</v>
      </c>
      <c r="N200">
        <f t="shared" si="16"/>
        <v>1.7105336111853831</v>
      </c>
      <c r="O200">
        <f>VLOOKUP(F200,SLA_Targets!$A$2:$C$5,2,FALSE)</f>
        <v>0.5</v>
      </c>
      <c r="P200">
        <f>VLOOKUP(F200,SLA_Targets!$A$2:$C$5,3,FALSE)</f>
        <v>4</v>
      </c>
      <c r="Q200" t="str">
        <f t="shared" si="17"/>
        <v>Met</v>
      </c>
      <c r="R200" t="str">
        <f t="shared" si="18"/>
        <v>Met</v>
      </c>
      <c r="S200" t="s">
        <v>32</v>
      </c>
      <c r="T200" t="s">
        <v>33</v>
      </c>
      <c r="U200">
        <v>7.1</v>
      </c>
      <c r="V200" t="s">
        <v>18</v>
      </c>
      <c r="W200">
        <f t="shared" si="19"/>
        <v>1</v>
      </c>
    </row>
    <row r="201" spans="1:23">
      <c r="A201" t="s">
        <v>288</v>
      </c>
      <c r="B201">
        <v>46166.932476851849</v>
      </c>
      <c r="C201">
        <v>46166.952622974539</v>
      </c>
      <c r="D201">
        <v>46167.987341446758</v>
      </c>
      <c r="E201" t="s">
        <v>70</v>
      </c>
      <c r="F201" t="s">
        <v>4</v>
      </c>
      <c r="G201" t="s">
        <v>79</v>
      </c>
      <c r="H201" t="s">
        <v>109</v>
      </c>
      <c r="I201" t="s">
        <v>73</v>
      </c>
      <c r="J201" t="s">
        <v>16</v>
      </c>
      <c r="K201" t="s">
        <v>68</v>
      </c>
      <c r="L201">
        <v>4</v>
      </c>
      <c r="M201">
        <f t="shared" si="15"/>
        <v>0.48350694455439225</v>
      </c>
      <c r="N201">
        <f t="shared" si="16"/>
        <v>25.316750277823303</v>
      </c>
      <c r="O201">
        <f>VLOOKUP(F201,SLA_Targets!$A$2:$C$5,2,FALSE)</f>
        <v>1</v>
      </c>
      <c r="P201">
        <f>VLOOKUP(F201,SLA_Targets!$A$2:$C$5,3,FALSE)</f>
        <v>8</v>
      </c>
      <c r="Q201" t="str">
        <f t="shared" si="17"/>
        <v>Met</v>
      </c>
      <c r="R201" t="str">
        <f t="shared" si="18"/>
        <v>Breached</v>
      </c>
      <c r="S201" t="s">
        <v>17</v>
      </c>
      <c r="T201" t="s">
        <v>14</v>
      </c>
      <c r="U201">
        <v>2.1</v>
      </c>
      <c r="V201" t="s">
        <v>18</v>
      </c>
      <c r="W201">
        <f t="shared" si="19"/>
        <v>1</v>
      </c>
    </row>
    <row r="202" spans="1:23">
      <c r="A202" t="s">
        <v>289</v>
      </c>
      <c r="B202">
        <v>46168.87127314815</v>
      </c>
      <c r="C202">
        <v>46168.890478275462</v>
      </c>
      <c r="D202">
        <v>46168.937732407408</v>
      </c>
      <c r="E202" t="s">
        <v>75</v>
      </c>
      <c r="F202" t="s">
        <v>3</v>
      </c>
      <c r="G202" t="s">
        <v>76</v>
      </c>
      <c r="H202" t="s">
        <v>72</v>
      </c>
      <c r="I202" t="s">
        <v>89</v>
      </c>
      <c r="J202" t="s">
        <v>28</v>
      </c>
      <c r="K202" t="s">
        <v>68</v>
      </c>
      <c r="L202">
        <v>5</v>
      </c>
      <c r="M202">
        <f t="shared" si="15"/>
        <v>0.46092305547790602</v>
      </c>
      <c r="N202">
        <f t="shared" si="16"/>
        <v>1.5950222222018056</v>
      </c>
      <c r="O202">
        <f>VLOOKUP(F202,SLA_Targets!$A$2:$C$5,2,FALSE)</f>
        <v>0.5</v>
      </c>
      <c r="P202">
        <f>VLOOKUP(F202,SLA_Targets!$A$2:$C$5,3,FALSE)</f>
        <v>4</v>
      </c>
      <c r="Q202" t="str">
        <f t="shared" si="17"/>
        <v>Met</v>
      </c>
      <c r="R202" t="str">
        <f t="shared" si="18"/>
        <v>Met</v>
      </c>
      <c r="S202" t="s">
        <v>29</v>
      </c>
      <c r="T202" t="s">
        <v>27</v>
      </c>
      <c r="U202">
        <v>1.8</v>
      </c>
      <c r="V202" t="s">
        <v>30</v>
      </c>
      <c r="W202">
        <f t="shared" si="19"/>
        <v>1</v>
      </c>
    </row>
    <row r="203" spans="1:23">
      <c r="A203" t="s">
        <v>290</v>
      </c>
      <c r="B203">
        <v>46139.410277777781</v>
      </c>
      <c r="C203">
        <v>46139.455723564817</v>
      </c>
      <c r="D203">
        <v>46139.495775787036</v>
      </c>
      <c r="E203" t="s">
        <v>75</v>
      </c>
      <c r="F203" t="s">
        <v>3</v>
      </c>
      <c r="G203" t="s">
        <v>83</v>
      </c>
      <c r="H203" t="s">
        <v>88</v>
      </c>
      <c r="I203" t="s">
        <v>67</v>
      </c>
      <c r="J203" t="s">
        <v>34</v>
      </c>
      <c r="K203" t="s">
        <v>68</v>
      </c>
      <c r="L203">
        <v>4</v>
      </c>
      <c r="M203">
        <f t="shared" si="15"/>
        <v>1.0906988888746127</v>
      </c>
      <c r="N203">
        <f t="shared" si="16"/>
        <v>2.05195222212933</v>
      </c>
      <c r="O203">
        <f>VLOOKUP(F203,SLA_Targets!$A$2:$C$5,2,FALSE)</f>
        <v>0.5</v>
      </c>
      <c r="P203">
        <f>VLOOKUP(F203,SLA_Targets!$A$2:$C$5,3,FALSE)</f>
        <v>4</v>
      </c>
      <c r="Q203" t="str">
        <f t="shared" si="17"/>
        <v>Breached</v>
      </c>
      <c r="R203" t="str">
        <f t="shared" si="18"/>
        <v>Met</v>
      </c>
      <c r="S203" t="s">
        <v>35</v>
      </c>
      <c r="T203" t="s">
        <v>33</v>
      </c>
      <c r="U203">
        <v>3</v>
      </c>
      <c r="V203" t="s">
        <v>36</v>
      </c>
      <c r="W203">
        <f t="shared" si="19"/>
        <v>1</v>
      </c>
    </row>
    <row r="204" spans="1:23">
      <c r="A204" t="s">
        <v>291</v>
      </c>
      <c r="B204">
        <v>46156.219756944447</v>
      </c>
      <c r="C204">
        <v>46156.766988773146</v>
      </c>
      <c r="D204">
        <v>46157.366834733795</v>
      </c>
      <c r="E204" t="s">
        <v>75</v>
      </c>
      <c r="F204" t="s">
        <v>6</v>
      </c>
      <c r="G204" t="s">
        <v>79</v>
      </c>
      <c r="H204" t="s">
        <v>77</v>
      </c>
      <c r="I204" t="s">
        <v>67</v>
      </c>
      <c r="J204" t="s">
        <v>37</v>
      </c>
      <c r="K204" t="s">
        <v>68</v>
      </c>
      <c r="L204">
        <v>4</v>
      </c>
      <c r="M204">
        <f t="shared" si="15"/>
        <v>13.133563888783101</v>
      </c>
      <c r="N204">
        <f t="shared" si="16"/>
        <v>27.529866944358218</v>
      </c>
      <c r="O204">
        <f>VLOOKUP(F204,SLA_Targets!$A$2:$C$5,2,FALSE)</f>
        <v>8</v>
      </c>
      <c r="P204">
        <f>VLOOKUP(F204,SLA_Targets!$A$2:$C$5,3,FALSE)</f>
        <v>48</v>
      </c>
      <c r="Q204" t="str">
        <f t="shared" si="17"/>
        <v>Breached</v>
      </c>
      <c r="R204" t="str">
        <f t="shared" si="18"/>
        <v>Met</v>
      </c>
      <c r="S204" t="s">
        <v>38</v>
      </c>
      <c r="T204" t="s">
        <v>14</v>
      </c>
      <c r="U204">
        <v>1.2</v>
      </c>
      <c r="V204" t="s">
        <v>39</v>
      </c>
      <c r="W204">
        <f t="shared" si="19"/>
        <v>1</v>
      </c>
    </row>
    <row r="205" spans="1:23">
      <c r="A205" t="s">
        <v>292</v>
      </c>
      <c r="B205">
        <v>46198.708055555559</v>
      </c>
      <c r="C205">
        <v>46198.726452766205</v>
      </c>
      <c r="D205">
        <v>46198.872532453701</v>
      </c>
      <c r="E205" t="s">
        <v>75</v>
      </c>
      <c r="F205" t="s">
        <v>4</v>
      </c>
      <c r="G205" t="s">
        <v>71</v>
      </c>
      <c r="H205" t="s">
        <v>109</v>
      </c>
      <c r="I205" t="s">
        <v>73</v>
      </c>
      <c r="J205" t="s">
        <v>25</v>
      </c>
      <c r="K205" t="s">
        <v>68</v>
      </c>
      <c r="L205">
        <v>4</v>
      </c>
      <c r="M205">
        <f t="shared" si="15"/>
        <v>0.44153305550571531</v>
      </c>
      <c r="N205">
        <f t="shared" si="16"/>
        <v>3.9474455554154702</v>
      </c>
      <c r="O205">
        <f>VLOOKUP(F205,SLA_Targets!$A$2:$C$5,2,FALSE)</f>
        <v>1</v>
      </c>
      <c r="P205">
        <f>VLOOKUP(F205,SLA_Targets!$A$2:$C$5,3,FALSE)</f>
        <v>8</v>
      </c>
      <c r="Q205" t="str">
        <f t="shared" si="17"/>
        <v>Met</v>
      </c>
      <c r="R205" t="str">
        <f t="shared" si="18"/>
        <v>Met</v>
      </c>
      <c r="S205" t="s">
        <v>26</v>
      </c>
      <c r="T205" t="s">
        <v>27</v>
      </c>
      <c r="U205">
        <v>6.3</v>
      </c>
      <c r="V205" t="s">
        <v>15</v>
      </c>
      <c r="W205">
        <f t="shared" si="19"/>
        <v>1</v>
      </c>
    </row>
    <row r="206" spans="1:23">
      <c r="A206" t="s">
        <v>293</v>
      </c>
      <c r="B206">
        <v>46160.789814814816</v>
      </c>
      <c r="C206">
        <v>46160.85131027778</v>
      </c>
      <c r="D206">
        <v>46161.131883113427</v>
      </c>
      <c r="E206" t="s">
        <v>70</v>
      </c>
      <c r="F206" t="s">
        <v>4</v>
      </c>
      <c r="G206" t="s">
        <v>76</v>
      </c>
      <c r="H206" t="s">
        <v>106</v>
      </c>
      <c r="I206" t="s">
        <v>73</v>
      </c>
      <c r="J206" t="s">
        <v>28</v>
      </c>
      <c r="K206" t="s">
        <v>68</v>
      </c>
      <c r="L206">
        <v>3</v>
      </c>
      <c r="M206">
        <f t="shared" si="15"/>
        <v>1.4758911111275665</v>
      </c>
      <c r="N206">
        <f t="shared" si="16"/>
        <v>8.2096391666564159</v>
      </c>
      <c r="O206">
        <f>VLOOKUP(F206,SLA_Targets!$A$2:$C$5,2,FALSE)</f>
        <v>1</v>
      </c>
      <c r="P206">
        <f>VLOOKUP(F206,SLA_Targets!$A$2:$C$5,3,FALSE)</f>
        <v>8</v>
      </c>
      <c r="Q206" t="str">
        <f t="shared" si="17"/>
        <v>Breached</v>
      </c>
      <c r="R206" t="str">
        <f t="shared" si="18"/>
        <v>Breached</v>
      </c>
      <c r="S206" t="s">
        <v>29</v>
      </c>
      <c r="T206" t="s">
        <v>27</v>
      </c>
      <c r="U206">
        <v>1.8</v>
      </c>
      <c r="V206" t="s">
        <v>30</v>
      </c>
      <c r="W206">
        <f t="shared" si="19"/>
        <v>1</v>
      </c>
    </row>
    <row r="207" spans="1:23">
      <c r="A207" t="s">
        <v>294</v>
      </c>
      <c r="B207">
        <v>46176.187685185185</v>
      </c>
      <c r="C207">
        <v>46176.302954444443</v>
      </c>
      <c r="E207" t="s">
        <v>132</v>
      </c>
      <c r="F207" t="s">
        <v>4</v>
      </c>
      <c r="G207" t="s">
        <v>79</v>
      </c>
      <c r="H207" t="s">
        <v>72</v>
      </c>
      <c r="I207" t="s">
        <v>73</v>
      </c>
      <c r="J207" t="s">
        <v>37</v>
      </c>
      <c r="K207" t="s">
        <v>68</v>
      </c>
      <c r="M207">
        <f t="shared" si="15"/>
        <v>2.7664622222073376</v>
      </c>
      <c r="N207" t="str">
        <f t="shared" si="16"/>
        <v/>
      </c>
      <c r="O207">
        <f>VLOOKUP(F207,SLA_Targets!$A$2:$C$5,2,FALSE)</f>
        <v>1</v>
      </c>
      <c r="P207">
        <f>VLOOKUP(F207,SLA_Targets!$A$2:$C$5,3,FALSE)</f>
        <v>8</v>
      </c>
      <c r="Q207" t="str">
        <f t="shared" si="17"/>
        <v>Breached</v>
      </c>
      <c r="R207" t="str">
        <f t="shared" si="18"/>
        <v>Pending</v>
      </c>
      <c r="S207" t="s">
        <v>38</v>
      </c>
      <c r="T207" t="s">
        <v>14</v>
      </c>
      <c r="U207">
        <v>1.2</v>
      </c>
      <c r="V207" t="s">
        <v>39</v>
      </c>
      <c r="W207">
        <f t="shared" si="19"/>
        <v>1</v>
      </c>
    </row>
    <row r="208" spans="1:23">
      <c r="A208" t="s">
        <v>295</v>
      </c>
      <c r="B208">
        <v>46172.397662037038</v>
      </c>
      <c r="C208">
        <v>46172.45494103009</v>
      </c>
      <c r="D208">
        <v>46172.577708287034</v>
      </c>
      <c r="E208" t="s">
        <v>75</v>
      </c>
      <c r="F208" t="s">
        <v>4</v>
      </c>
      <c r="G208" t="s">
        <v>105</v>
      </c>
      <c r="H208" t="s">
        <v>88</v>
      </c>
      <c r="I208" t="s">
        <v>92</v>
      </c>
      <c r="J208" t="s">
        <v>44</v>
      </c>
      <c r="K208" t="s">
        <v>68</v>
      </c>
      <c r="L208">
        <v>5</v>
      </c>
      <c r="M208">
        <f t="shared" si="15"/>
        <v>1.3746958332485519</v>
      </c>
      <c r="N208">
        <f t="shared" si="16"/>
        <v>4.3211099999025464</v>
      </c>
      <c r="O208">
        <f>VLOOKUP(F208,SLA_Targets!$A$2:$C$5,2,FALSE)</f>
        <v>1</v>
      </c>
      <c r="P208">
        <f>VLOOKUP(F208,SLA_Targets!$A$2:$C$5,3,FALSE)</f>
        <v>8</v>
      </c>
      <c r="Q208" t="str">
        <f t="shared" si="17"/>
        <v>Breached</v>
      </c>
      <c r="R208" t="str">
        <f t="shared" si="18"/>
        <v>Met</v>
      </c>
      <c r="S208" t="s">
        <v>45</v>
      </c>
      <c r="T208" t="s">
        <v>33</v>
      </c>
      <c r="U208">
        <v>5.0999999999999996</v>
      </c>
      <c r="V208" t="s">
        <v>30</v>
      </c>
      <c r="W208">
        <f t="shared" si="19"/>
        <v>1</v>
      </c>
    </row>
    <row r="209" spans="1:23">
      <c r="A209" t="s">
        <v>296</v>
      </c>
      <c r="B209">
        <v>46195.208078703705</v>
      </c>
      <c r="C209">
        <v>46195.313629965276</v>
      </c>
      <c r="D209">
        <v>46195.701780324074</v>
      </c>
      <c r="E209" t="s">
        <v>75</v>
      </c>
      <c r="F209" t="s">
        <v>5</v>
      </c>
      <c r="G209" t="s">
        <v>98</v>
      </c>
      <c r="H209" t="s">
        <v>88</v>
      </c>
      <c r="I209" t="s">
        <v>89</v>
      </c>
      <c r="J209" t="s">
        <v>37</v>
      </c>
      <c r="K209" t="s">
        <v>68</v>
      </c>
      <c r="L209">
        <v>5</v>
      </c>
      <c r="M209">
        <f t="shared" si="15"/>
        <v>2.5332302777096629</v>
      </c>
      <c r="N209">
        <f t="shared" si="16"/>
        <v>11.84883888886543</v>
      </c>
      <c r="O209">
        <f>VLOOKUP(F209,SLA_Targets!$A$2:$C$5,2,FALSE)</f>
        <v>4</v>
      </c>
      <c r="P209">
        <f>VLOOKUP(F209,SLA_Targets!$A$2:$C$5,3,FALSE)</f>
        <v>24</v>
      </c>
      <c r="Q209" t="str">
        <f t="shared" si="17"/>
        <v>Met</v>
      </c>
      <c r="R209" t="str">
        <f t="shared" si="18"/>
        <v>Met</v>
      </c>
      <c r="S209" t="s">
        <v>38</v>
      </c>
      <c r="T209" t="s">
        <v>14</v>
      </c>
      <c r="U209">
        <v>1.2</v>
      </c>
      <c r="V209" t="s">
        <v>39</v>
      </c>
      <c r="W209">
        <f t="shared" si="19"/>
        <v>1</v>
      </c>
    </row>
    <row r="210" spans="1:23">
      <c r="A210" t="s">
        <v>297</v>
      </c>
      <c r="B210">
        <v>46176.584444444445</v>
      </c>
      <c r="C210">
        <v>46176.644147361112</v>
      </c>
      <c r="D210">
        <v>46176.770560925928</v>
      </c>
      <c r="E210" t="s">
        <v>75</v>
      </c>
      <c r="F210" t="s">
        <v>4</v>
      </c>
      <c r="G210" t="s">
        <v>79</v>
      </c>
      <c r="H210" t="s">
        <v>109</v>
      </c>
      <c r="I210" t="s">
        <v>89</v>
      </c>
      <c r="J210" t="s">
        <v>12</v>
      </c>
      <c r="K210" t="s">
        <v>68</v>
      </c>
      <c r="L210">
        <v>3</v>
      </c>
      <c r="M210">
        <f t="shared" si="15"/>
        <v>1.4328700000187382</v>
      </c>
      <c r="N210">
        <f t="shared" si="16"/>
        <v>4.4667955556069501</v>
      </c>
      <c r="O210">
        <f>VLOOKUP(F210,SLA_Targets!$A$2:$C$5,2,FALSE)</f>
        <v>1</v>
      </c>
      <c r="P210">
        <f>VLOOKUP(F210,SLA_Targets!$A$2:$C$5,3,FALSE)</f>
        <v>8</v>
      </c>
      <c r="Q210" t="str">
        <f t="shared" si="17"/>
        <v>Breached</v>
      </c>
      <c r="R210" t="str">
        <f t="shared" si="18"/>
        <v>Met</v>
      </c>
      <c r="S210" t="s">
        <v>13</v>
      </c>
      <c r="T210" t="s">
        <v>14</v>
      </c>
      <c r="U210">
        <v>4.2</v>
      </c>
      <c r="V210" t="s">
        <v>15</v>
      </c>
      <c r="W210">
        <f t="shared" si="19"/>
        <v>1</v>
      </c>
    </row>
    <row r="211" spans="1:23">
      <c r="A211" t="s">
        <v>298</v>
      </c>
      <c r="B211">
        <v>46183.874328703707</v>
      </c>
      <c r="C211">
        <v>46183.968649907409</v>
      </c>
      <c r="D211">
        <v>46184.880757604165</v>
      </c>
      <c r="E211" t="s">
        <v>75</v>
      </c>
      <c r="F211" t="s">
        <v>5</v>
      </c>
      <c r="G211" t="s">
        <v>105</v>
      </c>
      <c r="H211" t="s">
        <v>77</v>
      </c>
      <c r="I211" t="s">
        <v>73</v>
      </c>
      <c r="J211" t="s">
        <v>44</v>
      </c>
      <c r="K211" t="s">
        <v>68</v>
      </c>
      <c r="L211">
        <v>4</v>
      </c>
      <c r="M211">
        <f t="shared" si="15"/>
        <v>2.2637088888441212</v>
      </c>
      <c r="N211">
        <f t="shared" si="16"/>
        <v>24.154293611005414</v>
      </c>
      <c r="O211">
        <f>VLOOKUP(F211,SLA_Targets!$A$2:$C$5,2,FALSE)</f>
        <v>4</v>
      </c>
      <c r="P211">
        <f>VLOOKUP(F211,SLA_Targets!$A$2:$C$5,3,FALSE)</f>
        <v>24</v>
      </c>
      <c r="Q211" t="str">
        <f t="shared" si="17"/>
        <v>Met</v>
      </c>
      <c r="R211" t="str">
        <f t="shared" si="18"/>
        <v>Breached</v>
      </c>
      <c r="S211" t="s">
        <v>45</v>
      </c>
      <c r="T211" t="s">
        <v>33</v>
      </c>
      <c r="U211">
        <v>5.0999999999999996</v>
      </c>
      <c r="V211" t="s">
        <v>30</v>
      </c>
      <c r="W211">
        <f t="shared" si="19"/>
        <v>1</v>
      </c>
    </row>
    <row r="212" spans="1:23">
      <c r="A212" t="s">
        <v>299</v>
      </c>
      <c r="B212">
        <v>46183.741967592592</v>
      </c>
      <c r="C212">
        <v>46183.805478969909</v>
      </c>
      <c r="D212">
        <v>46184.009894872688</v>
      </c>
      <c r="E212" t="s">
        <v>75</v>
      </c>
      <c r="F212" t="s">
        <v>5</v>
      </c>
      <c r="G212" t="s">
        <v>105</v>
      </c>
      <c r="H212" t="s">
        <v>106</v>
      </c>
      <c r="I212" t="s">
        <v>73</v>
      </c>
      <c r="J212" t="s">
        <v>31</v>
      </c>
      <c r="K212" t="s">
        <v>68</v>
      </c>
      <c r="L212">
        <v>5</v>
      </c>
      <c r="M212">
        <f t="shared" si="15"/>
        <v>1.5242730556055903</v>
      </c>
      <c r="N212">
        <f t="shared" si="16"/>
        <v>6.4302547223051079</v>
      </c>
      <c r="O212">
        <f>VLOOKUP(F212,SLA_Targets!$A$2:$C$5,2,FALSE)</f>
        <v>4</v>
      </c>
      <c r="P212">
        <f>VLOOKUP(F212,SLA_Targets!$A$2:$C$5,3,FALSE)</f>
        <v>24</v>
      </c>
      <c r="Q212" t="str">
        <f t="shared" si="17"/>
        <v>Met</v>
      </c>
      <c r="R212" t="str">
        <f t="shared" si="18"/>
        <v>Met</v>
      </c>
      <c r="S212" t="s">
        <v>32</v>
      </c>
      <c r="T212" t="s">
        <v>33</v>
      </c>
      <c r="U212">
        <v>7.1</v>
      </c>
      <c r="V212" t="s">
        <v>18</v>
      </c>
      <c r="W212">
        <f t="shared" si="19"/>
        <v>1</v>
      </c>
    </row>
    <row r="213" spans="1:23">
      <c r="A213" t="s">
        <v>300</v>
      </c>
      <c r="B213">
        <v>46197.451782407406</v>
      </c>
      <c r="C213">
        <v>46197.567124074078</v>
      </c>
      <c r="E213" t="s">
        <v>64</v>
      </c>
      <c r="F213" t="s">
        <v>5</v>
      </c>
      <c r="G213" t="s">
        <v>76</v>
      </c>
      <c r="H213" t="s">
        <v>80</v>
      </c>
      <c r="I213" t="s">
        <v>92</v>
      </c>
      <c r="J213" t="s">
        <v>40</v>
      </c>
      <c r="K213" t="s">
        <v>68</v>
      </c>
      <c r="M213">
        <f t="shared" si="15"/>
        <v>2.768200000107754</v>
      </c>
      <c r="N213" t="str">
        <f t="shared" si="16"/>
        <v/>
      </c>
      <c r="O213">
        <f>VLOOKUP(F213,SLA_Targets!$A$2:$C$5,2,FALSE)</f>
        <v>4</v>
      </c>
      <c r="P213">
        <f>VLOOKUP(F213,SLA_Targets!$A$2:$C$5,3,FALSE)</f>
        <v>24</v>
      </c>
      <c r="Q213" t="str">
        <f t="shared" si="17"/>
        <v>Met</v>
      </c>
      <c r="R213" t="str">
        <f t="shared" si="18"/>
        <v>Pending</v>
      </c>
      <c r="S213" t="s">
        <v>41</v>
      </c>
      <c r="T213" t="s">
        <v>27</v>
      </c>
      <c r="U213">
        <v>4.8</v>
      </c>
      <c r="V213" t="s">
        <v>39</v>
      </c>
      <c r="W213">
        <f t="shared" si="19"/>
        <v>1</v>
      </c>
    </row>
    <row r="214" spans="1:23">
      <c r="A214" t="s">
        <v>301</v>
      </c>
      <c r="B214">
        <v>46126.670173611114</v>
      </c>
      <c r="C214">
        <v>46126.764613541665</v>
      </c>
      <c r="D214">
        <v>46126.992077893519</v>
      </c>
      <c r="E214" t="s">
        <v>75</v>
      </c>
      <c r="F214" t="s">
        <v>4</v>
      </c>
      <c r="G214" t="s">
        <v>83</v>
      </c>
      <c r="H214" t="s">
        <v>77</v>
      </c>
      <c r="I214" t="s">
        <v>73</v>
      </c>
      <c r="J214" t="s">
        <v>44</v>
      </c>
      <c r="K214" t="s">
        <v>85</v>
      </c>
      <c r="L214">
        <v>3</v>
      </c>
      <c r="M214">
        <f t="shared" si="15"/>
        <v>2.2665583332418464</v>
      </c>
      <c r="N214">
        <f t="shared" si="16"/>
        <v>7.7257027777377516</v>
      </c>
      <c r="O214">
        <f>VLOOKUP(F214,SLA_Targets!$A$2:$C$5,2,FALSE)</f>
        <v>1</v>
      </c>
      <c r="P214">
        <f>VLOOKUP(F214,SLA_Targets!$A$2:$C$5,3,FALSE)</f>
        <v>8</v>
      </c>
      <c r="Q214" t="str">
        <f t="shared" si="17"/>
        <v>Breached</v>
      </c>
      <c r="R214" t="str">
        <f t="shared" si="18"/>
        <v>Met</v>
      </c>
      <c r="S214" t="s">
        <v>45</v>
      </c>
      <c r="T214" t="s">
        <v>33</v>
      </c>
      <c r="U214">
        <v>5.0999999999999996</v>
      </c>
      <c r="V214" t="s">
        <v>30</v>
      </c>
      <c r="W214">
        <f t="shared" si="19"/>
        <v>1</v>
      </c>
    </row>
    <row r="215" spans="1:23">
      <c r="A215" t="s">
        <v>302</v>
      </c>
      <c r="B215">
        <v>46139.89025462963</v>
      </c>
      <c r="C215">
        <v>46140.115335891205</v>
      </c>
      <c r="D215">
        <v>46140.857858009258</v>
      </c>
      <c r="E215" t="s">
        <v>75</v>
      </c>
      <c r="F215" t="s">
        <v>5</v>
      </c>
      <c r="G215" t="s">
        <v>79</v>
      </c>
      <c r="H215" t="s">
        <v>84</v>
      </c>
      <c r="I215" t="s">
        <v>67</v>
      </c>
      <c r="J215" t="s">
        <v>37</v>
      </c>
      <c r="K215" t="s">
        <v>85</v>
      </c>
      <c r="L215">
        <v>2</v>
      </c>
      <c r="M215">
        <f t="shared" si="15"/>
        <v>5.4019502777955495</v>
      </c>
      <c r="N215">
        <f t="shared" si="16"/>
        <v>23.222481111064553</v>
      </c>
      <c r="O215">
        <f>VLOOKUP(F215,SLA_Targets!$A$2:$C$5,2,FALSE)</f>
        <v>4</v>
      </c>
      <c r="P215">
        <f>VLOOKUP(F215,SLA_Targets!$A$2:$C$5,3,FALSE)</f>
        <v>24</v>
      </c>
      <c r="Q215" t="str">
        <f t="shared" si="17"/>
        <v>Breached</v>
      </c>
      <c r="R215" t="str">
        <f t="shared" si="18"/>
        <v>Met</v>
      </c>
      <c r="S215" t="s">
        <v>38</v>
      </c>
      <c r="T215" t="s">
        <v>14</v>
      </c>
      <c r="U215">
        <v>1.2</v>
      </c>
      <c r="V215" t="s">
        <v>39</v>
      </c>
      <c r="W215">
        <f t="shared" si="19"/>
        <v>1</v>
      </c>
    </row>
    <row r="216" spans="1:23">
      <c r="A216" t="s">
        <v>303</v>
      </c>
      <c r="B216">
        <v>46114.70008101852</v>
      </c>
      <c r="C216">
        <v>46114.866683425927</v>
      </c>
      <c r="D216">
        <v>46115.897369768521</v>
      </c>
      <c r="E216" t="s">
        <v>75</v>
      </c>
      <c r="F216" t="s">
        <v>5</v>
      </c>
      <c r="G216" t="s">
        <v>83</v>
      </c>
      <c r="H216" t="s">
        <v>66</v>
      </c>
      <c r="I216" t="s">
        <v>89</v>
      </c>
      <c r="J216" t="s">
        <v>44</v>
      </c>
      <c r="K216" t="s">
        <v>68</v>
      </c>
      <c r="L216">
        <v>4</v>
      </c>
      <c r="M216">
        <f t="shared" si="15"/>
        <v>3.9984577777795494</v>
      </c>
      <c r="N216">
        <f t="shared" si="16"/>
        <v>28.734930000035092</v>
      </c>
      <c r="O216">
        <f>VLOOKUP(F216,SLA_Targets!$A$2:$C$5,2,FALSE)</f>
        <v>4</v>
      </c>
      <c r="P216">
        <f>VLOOKUP(F216,SLA_Targets!$A$2:$C$5,3,FALSE)</f>
        <v>24</v>
      </c>
      <c r="Q216" t="str">
        <f t="shared" si="17"/>
        <v>Met</v>
      </c>
      <c r="R216" t="str">
        <f t="shared" si="18"/>
        <v>Breached</v>
      </c>
      <c r="S216" t="s">
        <v>45</v>
      </c>
      <c r="T216" t="s">
        <v>33</v>
      </c>
      <c r="U216">
        <v>5.0999999999999996</v>
      </c>
      <c r="V216" t="s">
        <v>30</v>
      </c>
      <c r="W216">
        <f t="shared" si="19"/>
        <v>1</v>
      </c>
    </row>
    <row r="217" spans="1:23">
      <c r="A217" t="s">
        <v>304</v>
      </c>
      <c r="B217">
        <v>46129.549375000002</v>
      </c>
      <c r="C217">
        <v>46129.556387476849</v>
      </c>
      <c r="D217">
        <v>46129.63236033565</v>
      </c>
      <c r="E217" t="s">
        <v>75</v>
      </c>
      <c r="F217" t="s">
        <v>3</v>
      </c>
      <c r="G217" t="s">
        <v>65</v>
      </c>
      <c r="H217" t="s">
        <v>77</v>
      </c>
      <c r="I217" t="s">
        <v>89</v>
      </c>
      <c r="J217" t="s">
        <v>23</v>
      </c>
      <c r="K217" t="s">
        <v>68</v>
      </c>
      <c r="L217">
        <v>5</v>
      </c>
      <c r="M217">
        <f t="shared" si="15"/>
        <v>0.16829944431083277</v>
      </c>
      <c r="N217">
        <f t="shared" si="16"/>
        <v>1.9916480555548333</v>
      </c>
      <c r="O217">
        <f>VLOOKUP(F217,SLA_Targets!$A$2:$C$5,2,FALSE)</f>
        <v>0.5</v>
      </c>
      <c r="P217">
        <f>VLOOKUP(F217,SLA_Targets!$A$2:$C$5,3,FALSE)</f>
        <v>4</v>
      </c>
      <c r="Q217" t="str">
        <f t="shared" si="17"/>
        <v>Met</v>
      </c>
      <c r="R217" t="str">
        <f t="shared" si="18"/>
        <v>Met</v>
      </c>
      <c r="S217" t="s">
        <v>24</v>
      </c>
      <c r="T217" t="s">
        <v>21</v>
      </c>
      <c r="U217">
        <v>3.4</v>
      </c>
      <c r="V217" t="s">
        <v>22</v>
      </c>
      <c r="W217">
        <f t="shared" si="19"/>
        <v>1</v>
      </c>
    </row>
    <row r="218" spans="1:23">
      <c r="A218" t="s">
        <v>305</v>
      </c>
      <c r="B218">
        <v>46192.171516203707</v>
      </c>
      <c r="C218">
        <v>46192.206517789353</v>
      </c>
      <c r="E218" t="s">
        <v>132</v>
      </c>
      <c r="F218" t="s">
        <v>4</v>
      </c>
      <c r="G218" t="s">
        <v>94</v>
      </c>
      <c r="H218" t="s">
        <v>84</v>
      </c>
      <c r="I218" t="s">
        <v>67</v>
      </c>
      <c r="J218" t="s">
        <v>37</v>
      </c>
      <c r="K218" t="s">
        <v>68</v>
      </c>
      <c r="M218">
        <f t="shared" si="15"/>
        <v>0.84003805549582466</v>
      </c>
      <c r="N218" t="str">
        <f t="shared" si="16"/>
        <v/>
      </c>
      <c r="O218">
        <f>VLOOKUP(F218,SLA_Targets!$A$2:$C$5,2,FALSE)</f>
        <v>1</v>
      </c>
      <c r="P218">
        <f>VLOOKUP(F218,SLA_Targets!$A$2:$C$5,3,FALSE)</f>
        <v>8</v>
      </c>
      <c r="Q218" t="str">
        <f t="shared" si="17"/>
        <v>Met</v>
      </c>
      <c r="R218" t="str">
        <f t="shared" si="18"/>
        <v>Pending</v>
      </c>
      <c r="S218" t="s">
        <v>38</v>
      </c>
      <c r="T218" t="s">
        <v>14</v>
      </c>
      <c r="U218">
        <v>1.2</v>
      </c>
      <c r="V218" t="s">
        <v>39</v>
      </c>
      <c r="W218">
        <f t="shared" si="19"/>
        <v>1</v>
      </c>
    </row>
    <row r="219" spans="1:23">
      <c r="A219" t="s">
        <v>306</v>
      </c>
      <c r="B219">
        <v>46188.214247685188</v>
      </c>
      <c r="C219">
        <v>46188.222072928242</v>
      </c>
      <c r="D219">
        <v>46188.300219259261</v>
      </c>
      <c r="E219" t="s">
        <v>75</v>
      </c>
      <c r="F219" t="s">
        <v>3</v>
      </c>
      <c r="G219" t="s">
        <v>71</v>
      </c>
      <c r="H219" t="s">
        <v>80</v>
      </c>
      <c r="I219" t="s">
        <v>73</v>
      </c>
      <c r="J219" t="s">
        <v>25</v>
      </c>
      <c r="K219" t="s">
        <v>68</v>
      </c>
      <c r="L219">
        <v>5</v>
      </c>
      <c r="M219">
        <f t="shared" si="15"/>
        <v>0.18780583329498768</v>
      </c>
      <c r="N219">
        <f t="shared" si="16"/>
        <v>2.0633177777635865</v>
      </c>
      <c r="O219">
        <f>VLOOKUP(F219,SLA_Targets!$A$2:$C$5,2,FALSE)</f>
        <v>0.5</v>
      </c>
      <c r="P219">
        <f>VLOOKUP(F219,SLA_Targets!$A$2:$C$5,3,FALSE)</f>
        <v>4</v>
      </c>
      <c r="Q219" t="str">
        <f t="shared" si="17"/>
        <v>Met</v>
      </c>
      <c r="R219" t="str">
        <f t="shared" si="18"/>
        <v>Met</v>
      </c>
      <c r="S219" t="s">
        <v>26</v>
      </c>
      <c r="T219" t="s">
        <v>27</v>
      </c>
      <c r="U219">
        <v>6.3</v>
      </c>
      <c r="V219" t="s">
        <v>15</v>
      </c>
      <c r="W219">
        <f t="shared" si="19"/>
        <v>1</v>
      </c>
    </row>
    <row r="220" spans="1:23">
      <c r="A220" t="s">
        <v>307</v>
      </c>
      <c r="B220">
        <v>46114.236712962964</v>
      </c>
      <c r="C220">
        <v>46114.523404583335</v>
      </c>
      <c r="D220">
        <v>46115.304929814818</v>
      </c>
      <c r="E220" t="s">
        <v>75</v>
      </c>
      <c r="F220" t="s">
        <v>5</v>
      </c>
      <c r="G220" t="s">
        <v>79</v>
      </c>
      <c r="H220" t="s">
        <v>88</v>
      </c>
      <c r="I220" t="s">
        <v>73</v>
      </c>
      <c r="J220" t="s">
        <v>37</v>
      </c>
      <c r="K220" t="s">
        <v>68</v>
      </c>
      <c r="L220">
        <v>4</v>
      </c>
      <c r="M220">
        <f t="shared" si="15"/>
        <v>6.8805988889071159</v>
      </c>
      <c r="N220">
        <f t="shared" si="16"/>
        <v>25.637204444501549</v>
      </c>
      <c r="O220">
        <f>VLOOKUP(F220,SLA_Targets!$A$2:$C$5,2,FALSE)</f>
        <v>4</v>
      </c>
      <c r="P220">
        <f>VLOOKUP(F220,SLA_Targets!$A$2:$C$5,3,FALSE)</f>
        <v>24</v>
      </c>
      <c r="Q220" t="str">
        <f t="shared" si="17"/>
        <v>Breached</v>
      </c>
      <c r="R220" t="str">
        <f t="shared" si="18"/>
        <v>Breached</v>
      </c>
      <c r="S220" t="s">
        <v>38</v>
      </c>
      <c r="T220" t="s">
        <v>14</v>
      </c>
      <c r="U220">
        <v>1.2</v>
      </c>
      <c r="V220" t="s">
        <v>39</v>
      </c>
      <c r="W220">
        <f t="shared" si="19"/>
        <v>1</v>
      </c>
    </row>
    <row r="221" spans="1:23">
      <c r="A221" t="s">
        <v>308</v>
      </c>
      <c r="B221">
        <v>46132.913854166669</v>
      </c>
      <c r="C221">
        <v>46133.056981979164</v>
      </c>
      <c r="D221">
        <v>46133.676052627314</v>
      </c>
      <c r="E221" t="s">
        <v>70</v>
      </c>
      <c r="F221" t="s">
        <v>5</v>
      </c>
      <c r="G221" t="s">
        <v>94</v>
      </c>
      <c r="H221" t="s">
        <v>109</v>
      </c>
      <c r="I221" t="s">
        <v>92</v>
      </c>
      <c r="J221" t="s">
        <v>12</v>
      </c>
      <c r="K221" t="s">
        <v>68</v>
      </c>
      <c r="L221">
        <v>3</v>
      </c>
      <c r="M221">
        <f t="shared" si="15"/>
        <v>3.4350674998713657</v>
      </c>
      <c r="N221">
        <f t="shared" si="16"/>
        <v>18.292763055476826</v>
      </c>
      <c r="O221">
        <f>VLOOKUP(F221,SLA_Targets!$A$2:$C$5,2,FALSE)</f>
        <v>4</v>
      </c>
      <c r="P221">
        <f>VLOOKUP(F221,SLA_Targets!$A$2:$C$5,3,FALSE)</f>
        <v>24</v>
      </c>
      <c r="Q221" t="str">
        <f t="shared" si="17"/>
        <v>Met</v>
      </c>
      <c r="R221" t="str">
        <f t="shared" si="18"/>
        <v>Met</v>
      </c>
      <c r="S221" t="s">
        <v>13</v>
      </c>
      <c r="T221" t="s">
        <v>14</v>
      </c>
      <c r="U221">
        <v>4.2</v>
      </c>
      <c r="V221" t="s">
        <v>15</v>
      </c>
      <c r="W221">
        <f t="shared" si="19"/>
        <v>1</v>
      </c>
    </row>
    <row r="222" spans="1:23">
      <c r="A222" t="s">
        <v>309</v>
      </c>
      <c r="B222">
        <v>46183.585613425923</v>
      </c>
      <c r="C222">
        <v>46183.590355682871</v>
      </c>
      <c r="D222">
        <v>46183.648179849537</v>
      </c>
      <c r="E222" t="s">
        <v>70</v>
      </c>
      <c r="F222" t="s">
        <v>3</v>
      </c>
      <c r="G222" t="s">
        <v>65</v>
      </c>
      <c r="H222" t="s">
        <v>77</v>
      </c>
      <c r="I222" t="s">
        <v>73</v>
      </c>
      <c r="J222" t="s">
        <v>19</v>
      </c>
      <c r="K222" t="s">
        <v>85</v>
      </c>
      <c r="L222">
        <v>5</v>
      </c>
      <c r="M222">
        <f t="shared" si="15"/>
        <v>0.1138141667470336</v>
      </c>
      <c r="N222">
        <f t="shared" si="16"/>
        <v>1.5015941667370498</v>
      </c>
      <c r="O222">
        <f>VLOOKUP(F222,SLA_Targets!$A$2:$C$5,2,FALSE)</f>
        <v>0.5</v>
      </c>
      <c r="P222">
        <f>VLOOKUP(F222,SLA_Targets!$A$2:$C$5,3,FALSE)</f>
        <v>4</v>
      </c>
      <c r="Q222" t="str">
        <f t="shared" si="17"/>
        <v>Met</v>
      </c>
      <c r="R222" t="str">
        <f t="shared" si="18"/>
        <v>Met</v>
      </c>
      <c r="S222" t="s">
        <v>20</v>
      </c>
      <c r="T222" t="s">
        <v>21</v>
      </c>
      <c r="U222">
        <v>5.6</v>
      </c>
      <c r="V222" t="s">
        <v>22</v>
      </c>
      <c r="W222">
        <f t="shared" si="19"/>
        <v>1</v>
      </c>
    </row>
    <row r="223" spans="1:23">
      <c r="A223" t="s">
        <v>310</v>
      </c>
      <c r="B223">
        <v>46145.243125000001</v>
      </c>
      <c r="C223">
        <v>46145.337995590278</v>
      </c>
      <c r="D223">
        <v>46145.820250416669</v>
      </c>
      <c r="E223" t="s">
        <v>75</v>
      </c>
      <c r="F223" t="s">
        <v>5</v>
      </c>
      <c r="G223" t="s">
        <v>94</v>
      </c>
      <c r="H223" t="s">
        <v>88</v>
      </c>
      <c r="I223" t="s">
        <v>73</v>
      </c>
      <c r="J223" t="s">
        <v>37</v>
      </c>
      <c r="K223" t="s">
        <v>68</v>
      </c>
      <c r="L223">
        <v>5</v>
      </c>
      <c r="M223">
        <f t="shared" si="15"/>
        <v>2.2768941666581668</v>
      </c>
      <c r="N223">
        <f t="shared" si="16"/>
        <v>13.851010000042152</v>
      </c>
      <c r="O223">
        <f>VLOOKUP(F223,SLA_Targets!$A$2:$C$5,2,FALSE)</f>
        <v>4</v>
      </c>
      <c r="P223">
        <f>VLOOKUP(F223,SLA_Targets!$A$2:$C$5,3,FALSE)</f>
        <v>24</v>
      </c>
      <c r="Q223" t="str">
        <f t="shared" si="17"/>
        <v>Met</v>
      </c>
      <c r="R223" t="str">
        <f t="shared" si="18"/>
        <v>Met</v>
      </c>
      <c r="S223" t="s">
        <v>38</v>
      </c>
      <c r="T223" t="s">
        <v>14</v>
      </c>
      <c r="U223">
        <v>1.2</v>
      </c>
      <c r="V223" t="s">
        <v>39</v>
      </c>
      <c r="W223">
        <f t="shared" si="19"/>
        <v>1</v>
      </c>
    </row>
    <row r="224" spans="1:23">
      <c r="A224" t="s">
        <v>311</v>
      </c>
      <c r="B224">
        <v>46154.28020833333</v>
      </c>
      <c r="C224">
        <v>46154.380338912037</v>
      </c>
      <c r="D224">
        <v>46154.836915266205</v>
      </c>
      <c r="E224" t="s">
        <v>75</v>
      </c>
      <c r="F224" t="s">
        <v>5</v>
      </c>
      <c r="G224" t="s">
        <v>76</v>
      </c>
      <c r="H224" t="s">
        <v>84</v>
      </c>
      <c r="I224" t="s">
        <v>67</v>
      </c>
      <c r="J224" t="s">
        <v>25</v>
      </c>
      <c r="K224" t="s">
        <v>68</v>
      </c>
      <c r="L224">
        <v>5</v>
      </c>
      <c r="M224">
        <f t="shared" si="15"/>
        <v>2.4031338889617473</v>
      </c>
      <c r="N224">
        <f t="shared" si="16"/>
        <v>13.360966389009263</v>
      </c>
      <c r="O224">
        <f>VLOOKUP(F224,SLA_Targets!$A$2:$C$5,2,FALSE)</f>
        <v>4</v>
      </c>
      <c r="P224">
        <f>VLOOKUP(F224,SLA_Targets!$A$2:$C$5,3,FALSE)</f>
        <v>24</v>
      </c>
      <c r="Q224" t="str">
        <f t="shared" si="17"/>
        <v>Met</v>
      </c>
      <c r="R224" t="str">
        <f t="shared" si="18"/>
        <v>Met</v>
      </c>
      <c r="S224" t="s">
        <v>26</v>
      </c>
      <c r="T224" t="s">
        <v>27</v>
      </c>
      <c r="U224">
        <v>6.3</v>
      </c>
      <c r="V224" t="s">
        <v>15</v>
      </c>
      <c r="W224">
        <f t="shared" si="19"/>
        <v>1</v>
      </c>
    </row>
    <row r="225" spans="1:23">
      <c r="A225" t="s">
        <v>312</v>
      </c>
      <c r="B225">
        <v>46199.914907407408</v>
      </c>
      <c r="C225">
        <v>46200.020683576389</v>
      </c>
      <c r="D225">
        <v>46201.394348078706</v>
      </c>
      <c r="E225" t="s">
        <v>75</v>
      </c>
      <c r="F225" t="s">
        <v>6</v>
      </c>
      <c r="G225" t="s">
        <v>65</v>
      </c>
      <c r="H225" t="s">
        <v>72</v>
      </c>
      <c r="I225" t="s">
        <v>73</v>
      </c>
      <c r="J225" t="s">
        <v>19</v>
      </c>
      <c r="K225" t="s">
        <v>68</v>
      </c>
      <c r="L225">
        <v>4</v>
      </c>
      <c r="M225">
        <f t="shared" si="15"/>
        <v>2.5386280555394478</v>
      </c>
      <c r="N225">
        <f t="shared" si="16"/>
        <v>35.506576111132745</v>
      </c>
      <c r="O225">
        <f>VLOOKUP(F225,SLA_Targets!$A$2:$C$5,2,FALSE)</f>
        <v>8</v>
      </c>
      <c r="P225">
        <f>VLOOKUP(F225,SLA_Targets!$A$2:$C$5,3,FALSE)</f>
        <v>48</v>
      </c>
      <c r="Q225" t="str">
        <f t="shared" si="17"/>
        <v>Met</v>
      </c>
      <c r="R225" t="str">
        <f t="shared" si="18"/>
        <v>Met</v>
      </c>
      <c r="S225" t="s">
        <v>20</v>
      </c>
      <c r="T225" t="s">
        <v>21</v>
      </c>
      <c r="U225">
        <v>5.6</v>
      </c>
      <c r="V225" t="s">
        <v>22</v>
      </c>
      <c r="W225">
        <f t="shared" si="19"/>
        <v>1</v>
      </c>
    </row>
    <row r="226" spans="1:23">
      <c r="A226" t="s">
        <v>313</v>
      </c>
      <c r="B226">
        <v>46178.368761574071</v>
      </c>
      <c r="C226">
        <v>46178.435440752313</v>
      </c>
      <c r="D226">
        <v>46179.118212557871</v>
      </c>
      <c r="E226" t="s">
        <v>75</v>
      </c>
      <c r="F226" t="s">
        <v>5</v>
      </c>
      <c r="G226" t="s">
        <v>98</v>
      </c>
      <c r="H226" t="s">
        <v>80</v>
      </c>
      <c r="I226" t="s">
        <v>89</v>
      </c>
      <c r="J226" t="s">
        <v>37</v>
      </c>
      <c r="K226" t="s">
        <v>68</v>
      </c>
      <c r="L226">
        <v>5</v>
      </c>
      <c r="M226">
        <f t="shared" si="15"/>
        <v>1.6003002778161317</v>
      </c>
      <c r="N226">
        <f t="shared" si="16"/>
        <v>17.986823611194268</v>
      </c>
      <c r="O226">
        <f>VLOOKUP(F226,SLA_Targets!$A$2:$C$5,2,FALSE)</f>
        <v>4</v>
      </c>
      <c r="P226">
        <f>VLOOKUP(F226,SLA_Targets!$A$2:$C$5,3,FALSE)</f>
        <v>24</v>
      </c>
      <c r="Q226" t="str">
        <f t="shared" si="17"/>
        <v>Met</v>
      </c>
      <c r="R226" t="str">
        <f t="shared" si="18"/>
        <v>Met</v>
      </c>
      <c r="S226" t="s">
        <v>38</v>
      </c>
      <c r="T226" t="s">
        <v>14</v>
      </c>
      <c r="U226">
        <v>1.2</v>
      </c>
      <c r="V226" t="s">
        <v>39</v>
      </c>
      <c r="W226">
        <f t="shared" si="19"/>
        <v>1</v>
      </c>
    </row>
    <row r="227" spans="1:23">
      <c r="A227" t="s">
        <v>314</v>
      </c>
      <c r="B227">
        <v>46128.569467592592</v>
      </c>
      <c r="C227">
        <v>46128.694768125002</v>
      </c>
      <c r="D227">
        <v>46129.208222048612</v>
      </c>
      <c r="E227" t="s">
        <v>75</v>
      </c>
      <c r="F227" t="s">
        <v>5</v>
      </c>
      <c r="G227" t="s">
        <v>71</v>
      </c>
      <c r="H227" t="s">
        <v>84</v>
      </c>
      <c r="I227" t="s">
        <v>67</v>
      </c>
      <c r="J227" t="s">
        <v>28</v>
      </c>
      <c r="K227" t="s">
        <v>68</v>
      </c>
      <c r="L227">
        <v>5</v>
      </c>
      <c r="M227">
        <f t="shared" si="15"/>
        <v>3.0072127778548747</v>
      </c>
      <c r="N227">
        <f t="shared" si="16"/>
        <v>15.330106944486033</v>
      </c>
      <c r="O227">
        <f>VLOOKUP(F227,SLA_Targets!$A$2:$C$5,2,FALSE)</f>
        <v>4</v>
      </c>
      <c r="P227">
        <f>VLOOKUP(F227,SLA_Targets!$A$2:$C$5,3,FALSE)</f>
        <v>24</v>
      </c>
      <c r="Q227" t="str">
        <f t="shared" si="17"/>
        <v>Met</v>
      </c>
      <c r="R227" t="str">
        <f t="shared" si="18"/>
        <v>Met</v>
      </c>
      <c r="S227" t="s">
        <v>29</v>
      </c>
      <c r="T227" t="s">
        <v>27</v>
      </c>
      <c r="U227">
        <v>1.8</v>
      </c>
      <c r="V227" t="s">
        <v>30</v>
      </c>
      <c r="W227">
        <f t="shared" si="19"/>
        <v>1</v>
      </c>
    </row>
    <row r="228" spans="1:23">
      <c r="A228" t="s">
        <v>315</v>
      </c>
      <c r="B228">
        <v>46120.987013888887</v>
      </c>
      <c r="C228">
        <v>46121.103953252314</v>
      </c>
      <c r="D228">
        <v>46122.467511504627</v>
      </c>
      <c r="E228" t="s">
        <v>75</v>
      </c>
      <c r="F228" t="s">
        <v>6</v>
      </c>
      <c r="G228" t="s">
        <v>94</v>
      </c>
      <c r="H228" t="s">
        <v>80</v>
      </c>
      <c r="I228" t="s">
        <v>73</v>
      </c>
      <c r="J228" t="s">
        <v>16</v>
      </c>
      <c r="K228" t="s">
        <v>85</v>
      </c>
      <c r="L228">
        <v>5</v>
      </c>
      <c r="M228">
        <f t="shared" si="15"/>
        <v>2.806544722232502</v>
      </c>
      <c r="N228">
        <f t="shared" si="16"/>
        <v>35.531942777743097</v>
      </c>
      <c r="O228">
        <f>VLOOKUP(F228,SLA_Targets!$A$2:$C$5,2,FALSE)</f>
        <v>8</v>
      </c>
      <c r="P228">
        <f>VLOOKUP(F228,SLA_Targets!$A$2:$C$5,3,FALSE)</f>
        <v>48</v>
      </c>
      <c r="Q228" t="str">
        <f t="shared" si="17"/>
        <v>Met</v>
      </c>
      <c r="R228" t="str">
        <f t="shared" si="18"/>
        <v>Met</v>
      </c>
      <c r="S228" t="s">
        <v>17</v>
      </c>
      <c r="T228" t="s">
        <v>14</v>
      </c>
      <c r="U228">
        <v>2.1</v>
      </c>
      <c r="V228" t="s">
        <v>18</v>
      </c>
      <c r="W228">
        <f t="shared" si="19"/>
        <v>1</v>
      </c>
    </row>
    <row r="229" spans="1:23">
      <c r="A229" t="s">
        <v>316</v>
      </c>
      <c r="B229">
        <v>46173.438692129632</v>
      </c>
      <c r="C229">
        <v>46173.884822708336</v>
      </c>
      <c r="D229">
        <v>46174.275385335648</v>
      </c>
      <c r="E229" t="s">
        <v>75</v>
      </c>
      <c r="F229" t="s">
        <v>6</v>
      </c>
      <c r="G229" t="s">
        <v>76</v>
      </c>
      <c r="H229" t="s">
        <v>66</v>
      </c>
      <c r="I229" t="s">
        <v>89</v>
      </c>
      <c r="J229" t="s">
        <v>40</v>
      </c>
      <c r="K229" t="s">
        <v>68</v>
      </c>
      <c r="L229">
        <v>4</v>
      </c>
      <c r="M229">
        <f t="shared" si="15"/>
        <v>10.707133888907265</v>
      </c>
      <c r="N229">
        <f t="shared" si="16"/>
        <v>20.080636944388971</v>
      </c>
      <c r="O229">
        <f>VLOOKUP(F229,SLA_Targets!$A$2:$C$5,2,FALSE)</f>
        <v>8</v>
      </c>
      <c r="P229">
        <f>VLOOKUP(F229,SLA_Targets!$A$2:$C$5,3,FALSE)</f>
        <v>48</v>
      </c>
      <c r="Q229" t="str">
        <f t="shared" si="17"/>
        <v>Breached</v>
      </c>
      <c r="R229" t="str">
        <f t="shared" si="18"/>
        <v>Met</v>
      </c>
      <c r="S229" t="s">
        <v>41</v>
      </c>
      <c r="T229" t="s">
        <v>27</v>
      </c>
      <c r="U229">
        <v>4.8</v>
      </c>
      <c r="V229" t="s">
        <v>39</v>
      </c>
      <c r="W229">
        <f t="shared" si="19"/>
        <v>1</v>
      </c>
    </row>
    <row r="230" spans="1:23">
      <c r="A230" t="s">
        <v>317</v>
      </c>
      <c r="B230">
        <v>46159.270046296297</v>
      </c>
      <c r="C230">
        <v>46159.293732881946</v>
      </c>
      <c r="D230">
        <v>46159.444841249999</v>
      </c>
      <c r="E230" t="s">
        <v>75</v>
      </c>
      <c r="F230" t="s">
        <v>4</v>
      </c>
      <c r="G230" t="s">
        <v>105</v>
      </c>
      <c r="H230" t="s">
        <v>80</v>
      </c>
      <c r="I230" t="s">
        <v>67</v>
      </c>
      <c r="J230" t="s">
        <v>34</v>
      </c>
      <c r="K230" t="s">
        <v>68</v>
      </c>
      <c r="L230">
        <v>5</v>
      </c>
      <c r="M230">
        <f t="shared" si="15"/>
        <v>0.5684780555893667</v>
      </c>
      <c r="N230">
        <f t="shared" si="16"/>
        <v>4.1950788888498209</v>
      </c>
      <c r="O230">
        <f>VLOOKUP(F230,SLA_Targets!$A$2:$C$5,2,FALSE)</f>
        <v>1</v>
      </c>
      <c r="P230">
        <f>VLOOKUP(F230,SLA_Targets!$A$2:$C$5,3,FALSE)</f>
        <v>8</v>
      </c>
      <c r="Q230" t="str">
        <f t="shared" si="17"/>
        <v>Met</v>
      </c>
      <c r="R230" t="str">
        <f t="shared" si="18"/>
        <v>Met</v>
      </c>
      <c r="S230" t="s">
        <v>35</v>
      </c>
      <c r="T230" t="s">
        <v>33</v>
      </c>
      <c r="U230">
        <v>3</v>
      </c>
      <c r="V230" t="s">
        <v>36</v>
      </c>
      <c r="W230">
        <f t="shared" si="19"/>
        <v>1</v>
      </c>
    </row>
    <row r="231" spans="1:23">
      <c r="A231" t="s">
        <v>318</v>
      </c>
      <c r="B231">
        <v>46183.389768518522</v>
      </c>
      <c r="C231">
        <v>46183.412082881943</v>
      </c>
      <c r="D231">
        <v>46183.916483819441</v>
      </c>
      <c r="E231" t="s">
        <v>75</v>
      </c>
      <c r="F231" t="s">
        <v>4</v>
      </c>
      <c r="G231" t="s">
        <v>94</v>
      </c>
      <c r="H231" t="s">
        <v>66</v>
      </c>
      <c r="I231" t="s">
        <v>92</v>
      </c>
      <c r="J231" t="s">
        <v>12</v>
      </c>
      <c r="K231" t="s">
        <v>68</v>
      </c>
      <c r="L231">
        <v>5</v>
      </c>
      <c r="M231">
        <f t="shared" si="15"/>
        <v>0.53554472210817039</v>
      </c>
      <c r="N231">
        <f t="shared" si="16"/>
        <v>12.641167222056538</v>
      </c>
      <c r="O231">
        <f>VLOOKUP(F231,SLA_Targets!$A$2:$C$5,2,FALSE)</f>
        <v>1</v>
      </c>
      <c r="P231">
        <f>VLOOKUP(F231,SLA_Targets!$A$2:$C$5,3,FALSE)</f>
        <v>8</v>
      </c>
      <c r="Q231" t="str">
        <f t="shared" si="17"/>
        <v>Met</v>
      </c>
      <c r="R231" t="str">
        <f t="shared" si="18"/>
        <v>Breached</v>
      </c>
      <c r="S231" t="s">
        <v>13</v>
      </c>
      <c r="T231" t="s">
        <v>14</v>
      </c>
      <c r="U231">
        <v>4.2</v>
      </c>
      <c r="V231" t="s">
        <v>15</v>
      </c>
      <c r="W231">
        <f t="shared" si="19"/>
        <v>1</v>
      </c>
    </row>
    <row r="232" spans="1:23">
      <c r="A232" t="s">
        <v>319</v>
      </c>
      <c r="B232">
        <v>46194.643229166664</v>
      </c>
      <c r="C232">
        <v>46194.656410439813</v>
      </c>
      <c r="D232">
        <v>46194.774111412036</v>
      </c>
      <c r="E232" t="s">
        <v>70</v>
      </c>
      <c r="F232" t="s">
        <v>3</v>
      </c>
      <c r="G232" t="s">
        <v>105</v>
      </c>
      <c r="H232" t="s">
        <v>77</v>
      </c>
      <c r="I232" t="s">
        <v>89</v>
      </c>
      <c r="J232" t="s">
        <v>34</v>
      </c>
      <c r="K232" t="s">
        <v>68</v>
      </c>
      <c r="L232">
        <v>5</v>
      </c>
      <c r="M232">
        <f t="shared" si="15"/>
        <v>0.31635055557126179</v>
      </c>
      <c r="N232">
        <f t="shared" si="16"/>
        <v>3.1411738889291883</v>
      </c>
      <c r="O232">
        <f>VLOOKUP(F232,SLA_Targets!$A$2:$C$5,2,FALSE)</f>
        <v>0.5</v>
      </c>
      <c r="P232">
        <f>VLOOKUP(F232,SLA_Targets!$A$2:$C$5,3,FALSE)</f>
        <v>4</v>
      </c>
      <c r="Q232" t="str">
        <f t="shared" si="17"/>
        <v>Met</v>
      </c>
      <c r="R232" t="str">
        <f t="shared" si="18"/>
        <v>Met</v>
      </c>
      <c r="S232" t="s">
        <v>35</v>
      </c>
      <c r="T232" t="s">
        <v>33</v>
      </c>
      <c r="U232">
        <v>3</v>
      </c>
      <c r="V232" t="s">
        <v>36</v>
      </c>
      <c r="W232">
        <f t="shared" si="19"/>
        <v>1</v>
      </c>
    </row>
    <row r="233" spans="1:23">
      <c r="A233" t="s">
        <v>320</v>
      </c>
      <c r="B233">
        <v>46130.193101851852</v>
      </c>
      <c r="C233">
        <v>46130.203195208334</v>
      </c>
      <c r="D233">
        <v>46130.345634942132</v>
      </c>
      <c r="E233" t="s">
        <v>75</v>
      </c>
      <c r="F233" t="s">
        <v>3</v>
      </c>
      <c r="G233" t="s">
        <v>105</v>
      </c>
      <c r="H233" t="s">
        <v>106</v>
      </c>
      <c r="I233" t="s">
        <v>92</v>
      </c>
      <c r="J233" t="s">
        <v>34</v>
      </c>
      <c r="K233" t="s">
        <v>68</v>
      </c>
      <c r="L233">
        <v>4</v>
      </c>
      <c r="M233">
        <f t="shared" si="15"/>
        <v>0.24224055558443069</v>
      </c>
      <c r="N233">
        <f t="shared" si="16"/>
        <v>3.6607941667316481</v>
      </c>
      <c r="O233">
        <f>VLOOKUP(F233,SLA_Targets!$A$2:$C$5,2,FALSE)</f>
        <v>0.5</v>
      </c>
      <c r="P233">
        <f>VLOOKUP(F233,SLA_Targets!$A$2:$C$5,3,FALSE)</f>
        <v>4</v>
      </c>
      <c r="Q233" t="str">
        <f t="shared" si="17"/>
        <v>Met</v>
      </c>
      <c r="R233" t="str">
        <f t="shared" si="18"/>
        <v>Met</v>
      </c>
      <c r="S233" t="s">
        <v>35</v>
      </c>
      <c r="T233" t="s">
        <v>33</v>
      </c>
      <c r="U233">
        <v>3</v>
      </c>
      <c r="V233" t="s">
        <v>36</v>
      </c>
      <c r="W233">
        <f t="shared" si="19"/>
        <v>1</v>
      </c>
    </row>
    <row r="234" spans="1:23">
      <c r="A234" t="s">
        <v>321</v>
      </c>
      <c r="B234">
        <v>46191.471354166664</v>
      </c>
      <c r="C234">
        <v>46191.481198414353</v>
      </c>
      <c r="D234">
        <v>46191.581505694441</v>
      </c>
      <c r="E234" t="s">
        <v>70</v>
      </c>
      <c r="F234" t="s">
        <v>4</v>
      </c>
      <c r="G234" t="s">
        <v>65</v>
      </c>
      <c r="H234" t="s">
        <v>88</v>
      </c>
      <c r="I234" t="s">
        <v>89</v>
      </c>
      <c r="J234" t="s">
        <v>42</v>
      </c>
      <c r="K234" t="s">
        <v>68</v>
      </c>
      <c r="L234">
        <v>5</v>
      </c>
      <c r="M234">
        <f t="shared" si="15"/>
        <v>0.23626194451935589</v>
      </c>
      <c r="N234">
        <f t="shared" si="16"/>
        <v>2.6436366666457616</v>
      </c>
      <c r="O234">
        <f>VLOOKUP(F234,SLA_Targets!$A$2:$C$5,2,FALSE)</f>
        <v>1</v>
      </c>
      <c r="P234">
        <f>VLOOKUP(F234,SLA_Targets!$A$2:$C$5,3,FALSE)</f>
        <v>8</v>
      </c>
      <c r="Q234" t="str">
        <f t="shared" si="17"/>
        <v>Met</v>
      </c>
      <c r="R234" t="str">
        <f t="shared" si="18"/>
        <v>Met</v>
      </c>
      <c r="S234" t="s">
        <v>43</v>
      </c>
      <c r="T234" t="s">
        <v>21</v>
      </c>
      <c r="U234">
        <v>2.7</v>
      </c>
      <c r="V234" t="s">
        <v>36</v>
      </c>
      <c r="W234">
        <f t="shared" si="19"/>
        <v>1</v>
      </c>
    </row>
    <row r="235" spans="1:23">
      <c r="A235" t="s">
        <v>322</v>
      </c>
      <c r="B235">
        <v>46180.744328703702</v>
      </c>
      <c r="C235">
        <v>46180.9263946875</v>
      </c>
      <c r="D235">
        <v>46184.669533657405</v>
      </c>
      <c r="E235" t="s">
        <v>70</v>
      </c>
      <c r="F235" t="s">
        <v>5</v>
      </c>
      <c r="G235" t="s">
        <v>76</v>
      </c>
      <c r="H235" t="s">
        <v>77</v>
      </c>
      <c r="I235" t="s">
        <v>89</v>
      </c>
      <c r="J235" t="s">
        <v>28</v>
      </c>
      <c r="K235" t="s">
        <v>68</v>
      </c>
      <c r="L235">
        <v>4</v>
      </c>
      <c r="M235">
        <f t="shared" si="15"/>
        <v>4.3695836111437529</v>
      </c>
      <c r="N235">
        <f t="shared" si="16"/>
        <v>94.204918888863176</v>
      </c>
      <c r="O235">
        <f>VLOOKUP(F235,SLA_Targets!$A$2:$C$5,2,FALSE)</f>
        <v>4</v>
      </c>
      <c r="P235">
        <f>VLOOKUP(F235,SLA_Targets!$A$2:$C$5,3,FALSE)</f>
        <v>24</v>
      </c>
      <c r="Q235" t="str">
        <f t="shared" si="17"/>
        <v>Breached</v>
      </c>
      <c r="R235" t="str">
        <f t="shared" si="18"/>
        <v>Breached</v>
      </c>
      <c r="S235" t="s">
        <v>29</v>
      </c>
      <c r="T235" t="s">
        <v>27</v>
      </c>
      <c r="U235">
        <v>1.8</v>
      </c>
      <c r="V235" t="s">
        <v>30</v>
      </c>
      <c r="W235">
        <f t="shared" si="19"/>
        <v>1</v>
      </c>
    </row>
    <row r="236" spans="1:23">
      <c r="A236" t="s">
        <v>323</v>
      </c>
      <c r="B236">
        <v>46164.085370370369</v>
      </c>
      <c r="C236">
        <v>46164.107997800929</v>
      </c>
      <c r="D236">
        <v>46164.166412557868</v>
      </c>
      <c r="E236" t="s">
        <v>75</v>
      </c>
      <c r="F236" t="s">
        <v>4</v>
      </c>
      <c r="G236" t="s">
        <v>65</v>
      </c>
      <c r="H236" t="s">
        <v>109</v>
      </c>
      <c r="I236" t="s">
        <v>73</v>
      </c>
      <c r="J236" t="s">
        <v>19</v>
      </c>
      <c r="K236" t="s">
        <v>68</v>
      </c>
      <c r="L236">
        <v>4</v>
      </c>
      <c r="M236">
        <f t="shared" si="15"/>
        <v>0.54305833345279098</v>
      </c>
      <c r="N236">
        <f t="shared" si="16"/>
        <v>1.9450124999857508</v>
      </c>
      <c r="O236">
        <f>VLOOKUP(F236,SLA_Targets!$A$2:$C$5,2,FALSE)</f>
        <v>1</v>
      </c>
      <c r="P236">
        <f>VLOOKUP(F236,SLA_Targets!$A$2:$C$5,3,FALSE)</f>
        <v>8</v>
      </c>
      <c r="Q236" t="str">
        <f t="shared" si="17"/>
        <v>Met</v>
      </c>
      <c r="R236" t="str">
        <f t="shared" si="18"/>
        <v>Met</v>
      </c>
      <c r="S236" t="s">
        <v>20</v>
      </c>
      <c r="T236" t="s">
        <v>21</v>
      </c>
      <c r="U236">
        <v>5.6</v>
      </c>
      <c r="V236" t="s">
        <v>22</v>
      </c>
      <c r="W236">
        <f t="shared" si="19"/>
        <v>1</v>
      </c>
    </row>
    <row r="237" spans="1:23">
      <c r="A237" t="s">
        <v>324</v>
      </c>
      <c r="B237">
        <v>46135.11141203704</v>
      </c>
      <c r="C237">
        <v>46135.290368611109</v>
      </c>
      <c r="D237">
        <v>46135.776226435184</v>
      </c>
      <c r="E237" t="s">
        <v>75</v>
      </c>
      <c r="F237" t="s">
        <v>5</v>
      </c>
      <c r="G237" t="s">
        <v>105</v>
      </c>
      <c r="H237" t="s">
        <v>88</v>
      </c>
      <c r="I237" t="s">
        <v>92</v>
      </c>
      <c r="J237" t="s">
        <v>31</v>
      </c>
      <c r="K237" t="s">
        <v>68</v>
      </c>
      <c r="L237">
        <v>3</v>
      </c>
      <c r="M237">
        <f t="shared" si="15"/>
        <v>4.2949577776598744</v>
      </c>
      <c r="N237">
        <f t="shared" si="16"/>
        <v>15.955545555450954</v>
      </c>
      <c r="O237">
        <f>VLOOKUP(F237,SLA_Targets!$A$2:$C$5,2,FALSE)</f>
        <v>4</v>
      </c>
      <c r="P237">
        <f>VLOOKUP(F237,SLA_Targets!$A$2:$C$5,3,FALSE)</f>
        <v>24</v>
      </c>
      <c r="Q237" t="str">
        <f t="shared" si="17"/>
        <v>Breached</v>
      </c>
      <c r="R237" t="str">
        <f t="shared" si="18"/>
        <v>Met</v>
      </c>
      <c r="S237" t="s">
        <v>32</v>
      </c>
      <c r="T237" t="s">
        <v>33</v>
      </c>
      <c r="U237">
        <v>7.1</v>
      </c>
      <c r="V237" t="s">
        <v>18</v>
      </c>
      <c r="W237">
        <f t="shared" si="19"/>
        <v>1</v>
      </c>
    </row>
    <row r="238" spans="1:23">
      <c r="A238" t="s">
        <v>325</v>
      </c>
      <c r="B238">
        <v>46197.813414351855</v>
      </c>
      <c r="C238">
        <v>46197.860258680557</v>
      </c>
      <c r="D238">
        <v>46198.281476261574</v>
      </c>
      <c r="E238" t="s">
        <v>75</v>
      </c>
      <c r="F238" t="s">
        <v>4</v>
      </c>
      <c r="G238" t="s">
        <v>94</v>
      </c>
      <c r="H238" t="s">
        <v>106</v>
      </c>
      <c r="I238" t="s">
        <v>89</v>
      </c>
      <c r="J238" t="s">
        <v>37</v>
      </c>
      <c r="K238" t="s">
        <v>68</v>
      </c>
      <c r="L238">
        <v>4</v>
      </c>
      <c r="M238">
        <f t="shared" si="15"/>
        <v>1.1242638888652436</v>
      </c>
      <c r="N238">
        <f t="shared" si="16"/>
        <v>11.233485833276063</v>
      </c>
      <c r="O238">
        <f>VLOOKUP(F238,SLA_Targets!$A$2:$C$5,2,FALSE)</f>
        <v>1</v>
      </c>
      <c r="P238">
        <f>VLOOKUP(F238,SLA_Targets!$A$2:$C$5,3,FALSE)</f>
        <v>8</v>
      </c>
      <c r="Q238" t="str">
        <f t="shared" si="17"/>
        <v>Breached</v>
      </c>
      <c r="R238" t="str">
        <f t="shared" si="18"/>
        <v>Breached</v>
      </c>
      <c r="S238" t="s">
        <v>38</v>
      </c>
      <c r="T238" t="s">
        <v>14</v>
      </c>
      <c r="U238">
        <v>1.2</v>
      </c>
      <c r="V238" t="s">
        <v>39</v>
      </c>
      <c r="W238">
        <f t="shared" si="19"/>
        <v>1</v>
      </c>
    </row>
    <row r="239" spans="1:23">
      <c r="A239" t="s">
        <v>326</v>
      </c>
      <c r="B239">
        <v>46149.955648148149</v>
      </c>
      <c r="C239">
        <v>46149.96065734954</v>
      </c>
      <c r="D239">
        <v>46150.041214976853</v>
      </c>
      <c r="E239" t="s">
        <v>75</v>
      </c>
      <c r="F239" t="s">
        <v>3</v>
      </c>
      <c r="G239" t="s">
        <v>65</v>
      </c>
      <c r="H239" t="s">
        <v>84</v>
      </c>
      <c r="I239" t="s">
        <v>89</v>
      </c>
      <c r="J239" t="s">
        <v>23</v>
      </c>
      <c r="K239" t="s">
        <v>85</v>
      </c>
      <c r="L239">
        <v>5</v>
      </c>
      <c r="M239">
        <f t="shared" si="15"/>
        <v>0.12022083339979872</v>
      </c>
      <c r="N239">
        <f t="shared" si="16"/>
        <v>2.0536038888967596</v>
      </c>
      <c r="O239">
        <f>VLOOKUP(F239,SLA_Targets!$A$2:$C$5,2,FALSE)</f>
        <v>0.5</v>
      </c>
      <c r="P239">
        <f>VLOOKUP(F239,SLA_Targets!$A$2:$C$5,3,FALSE)</f>
        <v>4</v>
      </c>
      <c r="Q239" t="str">
        <f t="shared" si="17"/>
        <v>Met</v>
      </c>
      <c r="R239" t="str">
        <f t="shared" si="18"/>
        <v>Met</v>
      </c>
      <c r="S239" t="s">
        <v>24</v>
      </c>
      <c r="T239" t="s">
        <v>21</v>
      </c>
      <c r="U239">
        <v>3.4</v>
      </c>
      <c r="V239" t="s">
        <v>22</v>
      </c>
      <c r="W239">
        <f t="shared" si="19"/>
        <v>1</v>
      </c>
    </row>
    <row r="240" spans="1:23">
      <c r="A240" t="s">
        <v>327</v>
      </c>
      <c r="B240">
        <v>46174.050405092596</v>
      </c>
      <c r="C240">
        <v>46174.19035877315</v>
      </c>
      <c r="D240">
        <v>46175.119401562501</v>
      </c>
      <c r="E240" t="s">
        <v>75</v>
      </c>
      <c r="F240" t="s">
        <v>5</v>
      </c>
      <c r="G240" t="s">
        <v>76</v>
      </c>
      <c r="H240" t="s">
        <v>106</v>
      </c>
      <c r="I240" t="s">
        <v>67</v>
      </c>
      <c r="J240" t="s">
        <v>28</v>
      </c>
      <c r="K240" t="s">
        <v>68</v>
      </c>
      <c r="L240">
        <v>4</v>
      </c>
      <c r="M240">
        <f t="shared" si="15"/>
        <v>3.3588883333140984</v>
      </c>
      <c r="N240">
        <f t="shared" si="16"/>
        <v>25.655915277719032</v>
      </c>
      <c r="O240">
        <f>VLOOKUP(F240,SLA_Targets!$A$2:$C$5,2,FALSE)</f>
        <v>4</v>
      </c>
      <c r="P240">
        <f>VLOOKUP(F240,SLA_Targets!$A$2:$C$5,3,FALSE)</f>
        <v>24</v>
      </c>
      <c r="Q240" t="str">
        <f t="shared" si="17"/>
        <v>Met</v>
      </c>
      <c r="R240" t="str">
        <f t="shared" si="18"/>
        <v>Breached</v>
      </c>
      <c r="S240" t="s">
        <v>29</v>
      </c>
      <c r="T240" t="s">
        <v>27</v>
      </c>
      <c r="U240">
        <v>1.8</v>
      </c>
      <c r="V240" t="s">
        <v>30</v>
      </c>
      <c r="W240">
        <f t="shared" si="19"/>
        <v>1</v>
      </c>
    </row>
    <row r="241" spans="1:23">
      <c r="A241" t="s">
        <v>328</v>
      </c>
      <c r="B241">
        <v>46148.363321759258</v>
      </c>
      <c r="C241">
        <v>46148.77100403935</v>
      </c>
      <c r="D241">
        <v>46153.278382013887</v>
      </c>
      <c r="E241" t="s">
        <v>70</v>
      </c>
      <c r="F241" t="s">
        <v>6</v>
      </c>
      <c r="G241" t="s">
        <v>79</v>
      </c>
      <c r="H241" t="s">
        <v>77</v>
      </c>
      <c r="I241" t="s">
        <v>67</v>
      </c>
      <c r="J241" t="s">
        <v>37</v>
      </c>
      <c r="K241" t="s">
        <v>68</v>
      </c>
      <c r="L241">
        <v>4</v>
      </c>
      <c r="M241">
        <f t="shared" si="15"/>
        <v>9.7843747222214006</v>
      </c>
      <c r="N241">
        <f t="shared" si="16"/>
        <v>117.96144611109048</v>
      </c>
      <c r="O241">
        <f>VLOOKUP(F241,SLA_Targets!$A$2:$C$5,2,FALSE)</f>
        <v>8</v>
      </c>
      <c r="P241">
        <f>VLOOKUP(F241,SLA_Targets!$A$2:$C$5,3,FALSE)</f>
        <v>48</v>
      </c>
      <c r="Q241" t="str">
        <f t="shared" si="17"/>
        <v>Breached</v>
      </c>
      <c r="R241" t="str">
        <f t="shared" si="18"/>
        <v>Breached</v>
      </c>
      <c r="S241" t="s">
        <v>38</v>
      </c>
      <c r="T241" t="s">
        <v>14</v>
      </c>
      <c r="U241">
        <v>1.2</v>
      </c>
      <c r="V241" t="s">
        <v>39</v>
      </c>
      <c r="W241">
        <f t="shared" si="19"/>
        <v>1</v>
      </c>
    </row>
    <row r="242" spans="1:23">
      <c r="A242" t="s">
        <v>329</v>
      </c>
      <c r="B242">
        <v>46144.493217592593</v>
      </c>
      <c r="C242">
        <v>46144.791296400464</v>
      </c>
      <c r="E242" t="s">
        <v>64</v>
      </c>
      <c r="F242" t="s">
        <v>6</v>
      </c>
      <c r="G242" t="s">
        <v>94</v>
      </c>
      <c r="H242" t="s">
        <v>72</v>
      </c>
      <c r="I242" t="s">
        <v>89</v>
      </c>
      <c r="J242" t="s">
        <v>12</v>
      </c>
      <c r="K242" t="s">
        <v>68</v>
      </c>
      <c r="M242">
        <f t="shared" si="15"/>
        <v>7.1538913889089599</v>
      </c>
      <c r="N242" t="str">
        <f t="shared" si="16"/>
        <v/>
      </c>
      <c r="O242">
        <f>VLOOKUP(F242,SLA_Targets!$A$2:$C$5,2,FALSE)</f>
        <v>8</v>
      </c>
      <c r="P242">
        <f>VLOOKUP(F242,SLA_Targets!$A$2:$C$5,3,FALSE)</f>
        <v>48</v>
      </c>
      <c r="Q242" t="str">
        <f t="shared" si="17"/>
        <v>Met</v>
      </c>
      <c r="R242" t="str">
        <f t="shared" si="18"/>
        <v>Pending</v>
      </c>
      <c r="S242" t="s">
        <v>13</v>
      </c>
      <c r="T242" t="s">
        <v>14</v>
      </c>
      <c r="U242">
        <v>4.2</v>
      </c>
      <c r="V242" t="s">
        <v>15</v>
      </c>
      <c r="W242">
        <f t="shared" si="19"/>
        <v>1</v>
      </c>
    </row>
    <row r="243" spans="1:23">
      <c r="A243" t="s">
        <v>330</v>
      </c>
      <c r="B243">
        <v>46144.432615740741</v>
      </c>
      <c r="C243">
        <v>46144.711748287038</v>
      </c>
      <c r="D243">
        <v>46148.509949201391</v>
      </c>
      <c r="E243" t="s">
        <v>70</v>
      </c>
      <c r="F243" t="s">
        <v>6</v>
      </c>
      <c r="G243" t="s">
        <v>71</v>
      </c>
      <c r="H243" t="s">
        <v>109</v>
      </c>
      <c r="I243" t="s">
        <v>73</v>
      </c>
      <c r="J243" t="s">
        <v>25</v>
      </c>
      <c r="K243" t="s">
        <v>68</v>
      </c>
      <c r="L243">
        <v>4</v>
      </c>
      <c r="M243">
        <f t="shared" si="15"/>
        <v>6.6991811111220159</v>
      </c>
      <c r="N243">
        <f t="shared" si="16"/>
        <v>97.856003055581823</v>
      </c>
      <c r="O243">
        <f>VLOOKUP(F243,SLA_Targets!$A$2:$C$5,2,FALSE)</f>
        <v>8</v>
      </c>
      <c r="P243">
        <f>VLOOKUP(F243,SLA_Targets!$A$2:$C$5,3,FALSE)</f>
        <v>48</v>
      </c>
      <c r="Q243" t="str">
        <f t="shared" si="17"/>
        <v>Met</v>
      </c>
      <c r="R243" t="str">
        <f t="shared" si="18"/>
        <v>Breached</v>
      </c>
      <c r="S243" t="s">
        <v>26</v>
      </c>
      <c r="T243" t="s">
        <v>27</v>
      </c>
      <c r="U243">
        <v>6.3</v>
      </c>
      <c r="V243" t="s">
        <v>15</v>
      </c>
      <c r="W243">
        <f t="shared" si="19"/>
        <v>1</v>
      </c>
    </row>
    <row r="244" spans="1:23">
      <c r="A244" t="s">
        <v>331</v>
      </c>
      <c r="B244">
        <v>46192.632314814815</v>
      </c>
      <c r="C244">
        <v>46192.721834097225</v>
      </c>
      <c r="D244">
        <v>46194.167050682867</v>
      </c>
      <c r="E244" t="s">
        <v>75</v>
      </c>
      <c r="F244" t="s">
        <v>5</v>
      </c>
      <c r="G244" t="s">
        <v>83</v>
      </c>
      <c r="H244" t="s">
        <v>109</v>
      </c>
      <c r="I244" t="s">
        <v>89</v>
      </c>
      <c r="J244" t="s">
        <v>31</v>
      </c>
      <c r="K244" t="s">
        <v>68</v>
      </c>
      <c r="L244">
        <v>3</v>
      </c>
      <c r="M244">
        <f t="shared" si="15"/>
        <v>2.1484627778409049</v>
      </c>
      <c r="N244">
        <f t="shared" si="16"/>
        <v>36.83366083324654</v>
      </c>
      <c r="O244">
        <f>VLOOKUP(F244,SLA_Targets!$A$2:$C$5,2,FALSE)</f>
        <v>4</v>
      </c>
      <c r="P244">
        <f>VLOOKUP(F244,SLA_Targets!$A$2:$C$5,3,FALSE)</f>
        <v>24</v>
      </c>
      <c r="Q244" t="str">
        <f t="shared" si="17"/>
        <v>Met</v>
      </c>
      <c r="R244" t="str">
        <f t="shared" si="18"/>
        <v>Breached</v>
      </c>
      <c r="S244" t="s">
        <v>32</v>
      </c>
      <c r="T244" t="s">
        <v>33</v>
      </c>
      <c r="U244">
        <v>7.1</v>
      </c>
      <c r="V244" t="s">
        <v>18</v>
      </c>
      <c r="W244">
        <f t="shared" si="19"/>
        <v>1</v>
      </c>
    </row>
    <row r="245" spans="1:23">
      <c r="A245" t="s">
        <v>332</v>
      </c>
      <c r="B245">
        <v>46151.150208333333</v>
      </c>
      <c r="C245">
        <v>46151.246353888891</v>
      </c>
      <c r="D245">
        <v>46152.271935960649</v>
      </c>
      <c r="E245" t="s">
        <v>75</v>
      </c>
      <c r="F245" t="s">
        <v>5</v>
      </c>
      <c r="G245" t="s">
        <v>105</v>
      </c>
      <c r="H245" t="s">
        <v>80</v>
      </c>
      <c r="I245" t="s">
        <v>89</v>
      </c>
      <c r="J245" t="s">
        <v>44</v>
      </c>
      <c r="K245" t="s">
        <v>68</v>
      </c>
      <c r="L245">
        <v>3</v>
      </c>
      <c r="M245">
        <f t="shared" si="15"/>
        <v>2.3074933334137313</v>
      </c>
      <c r="N245">
        <f t="shared" si="16"/>
        <v>26.921463055594359</v>
      </c>
      <c r="O245">
        <f>VLOOKUP(F245,SLA_Targets!$A$2:$C$5,2,FALSE)</f>
        <v>4</v>
      </c>
      <c r="P245">
        <f>VLOOKUP(F245,SLA_Targets!$A$2:$C$5,3,FALSE)</f>
        <v>24</v>
      </c>
      <c r="Q245" t="str">
        <f t="shared" si="17"/>
        <v>Met</v>
      </c>
      <c r="R245" t="str">
        <f t="shared" si="18"/>
        <v>Breached</v>
      </c>
      <c r="S245" t="s">
        <v>45</v>
      </c>
      <c r="T245" t="s">
        <v>33</v>
      </c>
      <c r="U245">
        <v>5.0999999999999996</v>
      </c>
      <c r="V245" t="s">
        <v>30</v>
      </c>
      <c r="W245">
        <f t="shared" si="19"/>
        <v>1</v>
      </c>
    </row>
    <row r="246" spans="1:23">
      <c r="A246" t="s">
        <v>333</v>
      </c>
      <c r="B246">
        <v>46151.294942129629</v>
      </c>
      <c r="C246">
        <v>46151.450368472222</v>
      </c>
      <c r="D246">
        <v>46153.153156238426</v>
      </c>
      <c r="E246" t="s">
        <v>75</v>
      </c>
      <c r="F246" t="s">
        <v>5</v>
      </c>
      <c r="G246" t="s">
        <v>105</v>
      </c>
      <c r="H246" t="s">
        <v>84</v>
      </c>
      <c r="I246" t="s">
        <v>89</v>
      </c>
      <c r="J246" t="s">
        <v>34</v>
      </c>
      <c r="K246" t="s">
        <v>85</v>
      </c>
      <c r="L246">
        <v>3</v>
      </c>
      <c r="M246">
        <f t="shared" si="15"/>
        <v>3.7302322222385556</v>
      </c>
      <c r="N246">
        <f t="shared" si="16"/>
        <v>44.597138611134142</v>
      </c>
      <c r="O246">
        <f>VLOOKUP(F246,SLA_Targets!$A$2:$C$5,2,FALSE)</f>
        <v>4</v>
      </c>
      <c r="P246">
        <f>VLOOKUP(F246,SLA_Targets!$A$2:$C$5,3,FALSE)</f>
        <v>24</v>
      </c>
      <c r="Q246" t="str">
        <f t="shared" si="17"/>
        <v>Met</v>
      </c>
      <c r="R246" t="str">
        <f t="shared" si="18"/>
        <v>Breached</v>
      </c>
      <c r="S246" t="s">
        <v>35</v>
      </c>
      <c r="T246" t="s">
        <v>33</v>
      </c>
      <c r="U246">
        <v>3</v>
      </c>
      <c r="V246" t="s">
        <v>36</v>
      </c>
      <c r="W246">
        <f t="shared" si="19"/>
        <v>1</v>
      </c>
    </row>
    <row r="247" spans="1:23">
      <c r="A247" t="s">
        <v>334</v>
      </c>
      <c r="B247">
        <v>46171.262766203705</v>
      </c>
      <c r="C247">
        <v>46171.41211020833</v>
      </c>
      <c r="D247">
        <v>46171.708458252317</v>
      </c>
      <c r="E247" t="s">
        <v>75</v>
      </c>
      <c r="F247" t="s">
        <v>5</v>
      </c>
      <c r="G247" t="s">
        <v>94</v>
      </c>
      <c r="H247" t="s">
        <v>88</v>
      </c>
      <c r="I247" t="s">
        <v>67</v>
      </c>
      <c r="J247" t="s">
        <v>12</v>
      </c>
      <c r="K247" t="s">
        <v>68</v>
      </c>
      <c r="L247">
        <v>5</v>
      </c>
      <c r="M247">
        <f t="shared" si="15"/>
        <v>3.5842561110039242</v>
      </c>
      <c r="N247">
        <f t="shared" si="16"/>
        <v>10.696609166683629</v>
      </c>
      <c r="O247">
        <f>VLOOKUP(F247,SLA_Targets!$A$2:$C$5,2,FALSE)</f>
        <v>4</v>
      </c>
      <c r="P247">
        <f>VLOOKUP(F247,SLA_Targets!$A$2:$C$5,3,FALSE)</f>
        <v>24</v>
      </c>
      <c r="Q247" t="str">
        <f t="shared" si="17"/>
        <v>Met</v>
      </c>
      <c r="R247" t="str">
        <f t="shared" si="18"/>
        <v>Met</v>
      </c>
      <c r="S247" t="s">
        <v>13</v>
      </c>
      <c r="T247" t="s">
        <v>14</v>
      </c>
      <c r="U247">
        <v>4.2</v>
      </c>
      <c r="V247" t="s">
        <v>15</v>
      </c>
      <c r="W247">
        <f t="shared" si="19"/>
        <v>1</v>
      </c>
    </row>
    <row r="248" spans="1:23">
      <c r="A248" t="s">
        <v>335</v>
      </c>
      <c r="B248">
        <v>46130.941446759258</v>
      </c>
      <c r="C248">
        <v>46131.02556804398</v>
      </c>
      <c r="D248">
        <v>46131.562624907405</v>
      </c>
      <c r="E248" t="s">
        <v>75</v>
      </c>
      <c r="F248" t="s">
        <v>5</v>
      </c>
      <c r="G248" t="s">
        <v>105</v>
      </c>
      <c r="H248" t="s">
        <v>77</v>
      </c>
      <c r="I248" t="s">
        <v>89</v>
      </c>
      <c r="J248" t="s">
        <v>31</v>
      </c>
      <c r="K248" t="s">
        <v>68</v>
      </c>
      <c r="L248">
        <v>4</v>
      </c>
      <c r="M248">
        <f t="shared" si="15"/>
        <v>2.0189108333433978</v>
      </c>
      <c r="N248">
        <f t="shared" si="16"/>
        <v>14.908275555528235</v>
      </c>
      <c r="O248">
        <f>VLOOKUP(F248,SLA_Targets!$A$2:$C$5,2,FALSE)</f>
        <v>4</v>
      </c>
      <c r="P248">
        <f>VLOOKUP(F248,SLA_Targets!$A$2:$C$5,3,FALSE)</f>
        <v>24</v>
      </c>
      <c r="Q248" t="str">
        <f t="shared" si="17"/>
        <v>Met</v>
      </c>
      <c r="R248" t="str">
        <f t="shared" si="18"/>
        <v>Met</v>
      </c>
      <c r="S248" t="s">
        <v>32</v>
      </c>
      <c r="T248" t="s">
        <v>33</v>
      </c>
      <c r="U248">
        <v>7.1</v>
      </c>
      <c r="V248" t="s">
        <v>18</v>
      </c>
      <c r="W248">
        <f t="shared" si="19"/>
        <v>1</v>
      </c>
    </row>
    <row r="249" spans="1:23">
      <c r="A249" t="s">
        <v>336</v>
      </c>
      <c r="B249">
        <v>46173.482349537036</v>
      </c>
      <c r="C249">
        <v>46173.486957604167</v>
      </c>
      <c r="D249">
        <v>46173.556978946763</v>
      </c>
      <c r="E249" t="s">
        <v>75</v>
      </c>
      <c r="F249" t="s">
        <v>3</v>
      </c>
      <c r="G249" t="s">
        <v>65</v>
      </c>
      <c r="H249" t="s">
        <v>77</v>
      </c>
      <c r="I249" t="s">
        <v>89</v>
      </c>
      <c r="J249" t="s">
        <v>23</v>
      </c>
      <c r="K249" t="s">
        <v>85</v>
      </c>
      <c r="L249">
        <v>4</v>
      </c>
      <c r="M249">
        <f t="shared" si="15"/>
        <v>0.11059361114166677</v>
      </c>
      <c r="N249">
        <f t="shared" si="16"/>
        <v>1.7911058334284462</v>
      </c>
      <c r="O249">
        <f>VLOOKUP(F249,SLA_Targets!$A$2:$C$5,2,FALSE)</f>
        <v>0.5</v>
      </c>
      <c r="P249">
        <f>VLOOKUP(F249,SLA_Targets!$A$2:$C$5,3,FALSE)</f>
        <v>4</v>
      </c>
      <c r="Q249" t="str">
        <f t="shared" si="17"/>
        <v>Met</v>
      </c>
      <c r="R249" t="str">
        <f t="shared" si="18"/>
        <v>Met</v>
      </c>
      <c r="S249" t="s">
        <v>24</v>
      </c>
      <c r="T249" t="s">
        <v>21</v>
      </c>
      <c r="U249">
        <v>3.4</v>
      </c>
      <c r="V249" t="s">
        <v>22</v>
      </c>
      <c r="W249">
        <f t="shared" si="19"/>
        <v>1</v>
      </c>
    </row>
    <row r="250" spans="1:23">
      <c r="A250" t="s">
        <v>337</v>
      </c>
      <c r="B250">
        <v>46185.162361111114</v>
      </c>
      <c r="C250">
        <v>46185.237192002314</v>
      </c>
      <c r="D250">
        <v>46185.434265543983</v>
      </c>
      <c r="E250" t="s">
        <v>75</v>
      </c>
      <c r="F250" t="s">
        <v>4</v>
      </c>
      <c r="G250" t="s">
        <v>76</v>
      </c>
      <c r="H250" t="s">
        <v>84</v>
      </c>
      <c r="I250" t="s">
        <v>67</v>
      </c>
      <c r="J250" t="s">
        <v>28</v>
      </c>
      <c r="K250" t="s">
        <v>68</v>
      </c>
      <c r="L250">
        <v>4</v>
      </c>
      <c r="M250">
        <f t="shared" si="15"/>
        <v>1.7959413888165727</v>
      </c>
      <c r="N250">
        <f t="shared" si="16"/>
        <v>6.5257063888711855</v>
      </c>
      <c r="O250">
        <f>VLOOKUP(F250,SLA_Targets!$A$2:$C$5,2,FALSE)</f>
        <v>1</v>
      </c>
      <c r="P250">
        <f>VLOOKUP(F250,SLA_Targets!$A$2:$C$5,3,FALSE)</f>
        <v>8</v>
      </c>
      <c r="Q250" t="str">
        <f t="shared" si="17"/>
        <v>Breached</v>
      </c>
      <c r="R250" t="str">
        <f t="shared" si="18"/>
        <v>Met</v>
      </c>
      <c r="S250" t="s">
        <v>29</v>
      </c>
      <c r="T250" t="s">
        <v>27</v>
      </c>
      <c r="U250">
        <v>1.8</v>
      </c>
      <c r="V250" t="s">
        <v>30</v>
      </c>
      <c r="W250">
        <f t="shared" si="19"/>
        <v>1</v>
      </c>
    </row>
    <row r="251" spans="1:23">
      <c r="A251" t="s">
        <v>338</v>
      </c>
      <c r="B251">
        <v>46195.063321759262</v>
      </c>
      <c r="C251">
        <v>46195.612029016207</v>
      </c>
      <c r="D251">
        <v>46199.253346458332</v>
      </c>
      <c r="E251" t="s">
        <v>70</v>
      </c>
      <c r="F251" t="s">
        <v>6</v>
      </c>
      <c r="G251" t="s">
        <v>79</v>
      </c>
      <c r="H251" t="s">
        <v>66</v>
      </c>
      <c r="I251" t="s">
        <v>67</v>
      </c>
      <c r="J251" t="s">
        <v>37</v>
      </c>
      <c r="K251" t="s">
        <v>68</v>
      </c>
      <c r="L251">
        <v>4</v>
      </c>
      <c r="M251">
        <f t="shared" si="15"/>
        <v>13.168974166677799</v>
      </c>
      <c r="N251">
        <f t="shared" si="16"/>
        <v>100.56059277767781</v>
      </c>
      <c r="O251">
        <f>VLOOKUP(F251,SLA_Targets!$A$2:$C$5,2,FALSE)</f>
        <v>8</v>
      </c>
      <c r="P251">
        <f>VLOOKUP(F251,SLA_Targets!$A$2:$C$5,3,FALSE)</f>
        <v>48</v>
      </c>
      <c r="Q251" t="str">
        <f t="shared" si="17"/>
        <v>Breached</v>
      </c>
      <c r="R251" t="str">
        <f t="shared" si="18"/>
        <v>Breached</v>
      </c>
      <c r="S251" t="s">
        <v>38</v>
      </c>
      <c r="T251" t="s">
        <v>14</v>
      </c>
      <c r="U251">
        <v>1.2</v>
      </c>
      <c r="V251" t="s">
        <v>39</v>
      </c>
      <c r="W251">
        <f t="shared" si="19"/>
        <v>1</v>
      </c>
    </row>
    <row r="252" spans="1:23">
      <c r="A252" t="s">
        <v>339</v>
      </c>
      <c r="B252">
        <v>46200.130752314813</v>
      </c>
      <c r="C252">
        <v>46200.216962708335</v>
      </c>
      <c r="D252">
        <v>46200.333059247685</v>
      </c>
      <c r="E252" t="s">
        <v>75</v>
      </c>
      <c r="F252" t="s">
        <v>4</v>
      </c>
      <c r="G252" t="s">
        <v>83</v>
      </c>
      <c r="H252" t="s">
        <v>106</v>
      </c>
      <c r="I252" t="s">
        <v>73</v>
      </c>
      <c r="J252" t="s">
        <v>31</v>
      </c>
      <c r="K252" t="s">
        <v>68</v>
      </c>
      <c r="L252">
        <v>4</v>
      </c>
      <c r="M252">
        <f t="shared" si="15"/>
        <v>2.0690494445152581</v>
      </c>
      <c r="N252">
        <f t="shared" si="16"/>
        <v>4.8553663889179006</v>
      </c>
      <c r="O252">
        <f>VLOOKUP(F252,SLA_Targets!$A$2:$C$5,2,FALSE)</f>
        <v>1</v>
      </c>
      <c r="P252">
        <f>VLOOKUP(F252,SLA_Targets!$A$2:$C$5,3,FALSE)</f>
        <v>8</v>
      </c>
      <c r="Q252" t="str">
        <f t="shared" si="17"/>
        <v>Breached</v>
      </c>
      <c r="R252" t="str">
        <f t="shared" si="18"/>
        <v>Met</v>
      </c>
      <c r="S252" t="s">
        <v>32</v>
      </c>
      <c r="T252" t="s">
        <v>33</v>
      </c>
      <c r="U252">
        <v>7.1</v>
      </c>
      <c r="V252" t="s">
        <v>18</v>
      </c>
      <c r="W252">
        <f t="shared" si="19"/>
        <v>1</v>
      </c>
    </row>
    <row r="253" spans="1:23">
      <c r="A253" t="s">
        <v>340</v>
      </c>
      <c r="B253">
        <v>46177.673032407409</v>
      </c>
      <c r="C253">
        <v>46177.839104629631</v>
      </c>
      <c r="D253">
        <v>46180.647865115738</v>
      </c>
      <c r="E253" t="s">
        <v>70</v>
      </c>
      <c r="F253" t="s">
        <v>6</v>
      </c>
      <c r="G253" t="s">
        <v>79</v>
      </c>
      <c r="H253" t="s">
        <v>84</v>
      </c>
      <c r="I253" t="s">
        <v>73</v>
      </c>
      <c r="J253" t="s">
        <v>37</v>
      </c>
      <c r="K253" t="s">
        <v>68</v>
      </c>
      <c r="L253">
        <v>5</v>
      </c>
      <c r="M253">
        <f t="shared" si="15"/>
        <v>3.9857333333347924</v>
      </c>
      <c r="N253">
        <f t="shared" si="16"/>
        <v>71.395984999893699</v>
      </c>
      <c r="O253">
        <f>VLOOKUP(F253,SLA_Targets!$A$2:$C$5,2,FALSE)</f>
        <v>8</v>
      </c>
      <c r="P253">
        <f>VLOOKUP(F253,SLA_Targets!$A$2:$C$5,3,FALSE)</f>
        <v>48</v>
      </c>
      <c r="Q253" t="str">
        <f t="shared" si="17"/>
        <v>Met</v>
      </c>
      <c r="R253" t="str">
        <f t="shared" si="18"/>
        <v>Breached</v>
      </c>
      <c r="S253" t="s">
        <v>38</v>
      </c>
      <c r="T253" t="s">
        <v>14</v>
      </c>
      <c r="U253">
        <v>1.2</v>
      </c>
      <c r="V253" t="s">
        <v>39</v>
      </c>
      <c r="W253">
        <f t="shared" si="19"/>
        <v>1</v>
      </c>
    </row>
    <row r="254" spans="1:23">
      <c r="A254" t="s">
        <v>341</v>
      </c>
      <c r="B254">
        <v>46135.834016203706</v>
      </c>
      <c r="C254">
        <v>46135.849300162037</v>
      </c>
      <c r="D254">
        <v>46135.976437106481</v>
      </c>
      <c r="E254" t="s">
        <v>75</v>
      </c>
      <c r="F254" t="s">
        <v>4</v>
      </c>
      <c r="G254" t="s">
        <v>65</v>
      </c>
      <c r="H254" t="s">
        <v>66</v>
      </c>
      <c r="I254" t="s">
        <v>92</v>
      </c>
      <c r="J254" t="s">
        <v>19</v>
      </c>
      <c r="K254" t="s">
        <v>68</v>
      </c>
      <c r="L254">
        <v>5</v>
      </c>
      <c r="M254">
        <f t="shared" si="15"/>
        <v>0.36681499995756894</v>
      </c>
      <c r="N254">
        <f t="shared" si="16"/>
        <v>3.4181016666116193</v>
      </c>
      <c r="O254">
        <f>VLOOKUP(F254,SLA_Targets!$A$2:$C$5,2,FALSE)</f>
        <v>1</v>
      </c>
      <c r="P254">
        <f>VLOOKUP(F254,SLA_Targets!$A$2:$C$5,3,FALSE)</f>
        <v>8</v>
      </c>
      <c r="Q254" t="str">
        <f t="shared" si="17"/>
        <v>Met</v>
      </c>
      <c r="R254" t="str">
        <f t="shared" si="18"/>
        <v>Met</v>
      </c>
      <c r="S254" t="s">
        <v>20</v>
      </c>
      <c r="T254" t="s">
        <v>21</v>
      </c>
      <c r="U254">
        <v>5.6</v>
      </c>
      <c r="V254" t="s">
        <v>22</v>
      </c>
      <c r="W254">
        <f t="shared" si="19"/>
        <v>1</v>
      </c>
    </row>
    <row r="255" spans="1:23">
      <c r="A255" t="s">
        <v>342</v>
      </c>
      <c r="B255">
        <v>46163.953611111108</v>
      </c>
      <c r="C255">
        <v>46163.979927071756</v>
      </c>
      <c r="D255">
        <v>46164.123334027776</v>
      </c>
      <c r="E255" t="s">
        <v>75</v>
      </c>
      <c r="F255" t="s">
        <v>4</v>
      </c>
      <c r="G255" t="s">
        <v>76</v>
      </c>
      <c r="H255" t="s">
        <v>88</v>
      </c>
      <c r="I255" t="s">
        <v>73</v>
      </c>
      <c r="J255" t="s">
        <v>40</v>
      </c>
      <c r="K255" t="s">
        <v>68</v>
      </c>
      <c r="L255">
        <v>5</v>
      </c>
      <c r="M255">
        <f t="shared" si="15"/>
        <v>0.63158305553952232</v>
      </c>
      <c r="N255">
        <f t="shared" si="16"/>
        <v>4.0733500000205822</v>
      </c>
      <c r="O255">
        <f>VLOOKUP(F255,SLA_Targets!$A$2:$C$5,2,FALSE)</f>
        <v>1</v>
      </c>
      <c r="P255">
        <f>VLOOKUP(F255,SLA_Targets!$A$2:$C$5,3,FALSE)</f>
        <v>8</v>
      </c>
      <c r="Q255" t="str">
        <f t="shared" si="17"/>
        <v>Met</v>
      </c>
      <c r="R255" t="str">
        <f t="shared" si="18"/>
        <v>Met</v>
      </c>
      <c r="S255" t="s">
        <v>41</v>
      </c>
      <c r="T255" t="s">
        <v>27</v>
      </c>
      <c r="U255">
        <v>4.8</v>
      </c>
      <c r="V255" t="s">
        <v>39</v>
      </c>
      <c r="W255">
        <f t="shared" si="19"/>
        <v>1</v>
      </c>
    </row>
    <row r="256" spans="1:23">
      <c r="A256" t="s">
        <v>343</v>
      </c>
      <c r="B256">
        <v>46198.970358796294</v>
      </c>
      <c r="C256">
        <v>46198.973692129628</v>
      </c>
      <c r="D256">
        <v>46199.134000150465</v>
      </c>
      <c r="E256" t="s">
        <v>75</v>
      </c>
      <c r="F256" t="s">
        <v>3</v>
      </c>
      <c r="G256" t="s">
        <v>65</v>
      </c>
      <c r="H256" t="s">
        <v>88</v>
      </c>
      <c r="I256" t="s">
        <v>73</v>
      </c>
      <c r="J256" t="s">
        <v>19</v>
      </c>
      <c r="K256" t="s">
        <v>68</v>
      </c>
      <c r="L256">
        <v>5</v>
      </c>
      <c r="M256">
        <f t="shared" si="15"/>
        <v>8.0000000016298145E-2</v>
      </c>
      <c r="N256">
        <f t="shared" si="16"/>
        <v>3.9273925001034513</v>
      </c>
      <c r="O256">
        <f>VLOOKUP(F256,SLA_Targets!$A$2:$C$5,2,FALSE)</f>
        <v>0.5</v>
      </c>
      <c r="P256">
        <f>VLOOKUP(F256,SLA_Targets!$A$2:$C$5,3,FALSE)</f>
        <v>4</v>
      </c>
      <c r="Q256" t="str">
        <f t="shared" si="17"/>
        <v>Met</v>
      </c>
      <c r="R256" t="str">
        <f t="shared" si="18"/>
        <v>Met</v>
      </c>
      <c r="S256" t="s">
        <v>20</v>
      </c>
      <c r="T256" t="s">
        <v>21</v>
      </c>
      <c r="U256">
        <v>5.6</v>
      </c>
      <c r="V256" t="s">
        <v>22</v>
      </c>
      <c r="W256">
        <f t="shared" si="19"/>
        <v>1</v>
      </c>
    </row>
    <row r="257" spans="1:23">
      <c r="A257" t="s">
        <v>344</v>
      </c>
      <c r="B257">
        <v>46178.891597222224</v>
      </c>
      <c r="C257">
        <v>46178.907070914349</v>
      </c>
      <c r="D257">
        <v>46179.018706319446</v>
      </c>
      <c r="E257" t="s">
        <v>75</v>
      </c>
      <c r="F257" t="s">
        <v>4</v>
      </c>
      <c r="G257" t="s">
        <v>71</v>
      </c>
      <c r="H257" t="s">
        <v>72</v>
      </c>
      <c r="I257" t="s">
        <v>73</v>
      </c>
      <c r="J257" t="s">
        <v>25</v>
      </c>
      <c r="K257" t="s">
        <v>68</v>
      </c>
      <c r="L257">
        <v>5</v>
      </c>
      <c r="M257">
        <f t="shared" si="15"/>
        <v>0.37136861099861562</v>
      </c>
      <c r="N257">
        <f t="shared" si="16"/>
        <v>3.0506183333345689</v>
      </c>
      <c r="O257">
        <f>VLOOKUP(F257,SLA_Targets!$A$2:$C$5,2,FALSE)</f>
        <v>1</v>
      </c>
      <c r="P257">
        <f>VLOOKUP(F257,SLA_Targets!$A$2:$C$5,3,FALSE)</f>
        <v>8</v>
      </c>
      <c r="Q257" t="str">
        <f t="shared" si="17"/>
        <v>Met</v>
      </c>
      <c r="R257" t="str">
        <f t="shared" si="18"/>
        <v>Met</v>
      </c>
      <c r="S257" t="s">
        <v>26</v>
      </c>
      <c r="T257" t="s">
        <v>27</v>
      </c>
      <c r="U257">
        <v>6.3</v>
      </c>
      <c r="V257" t="s">
        <v>15</v>
      </c>
      <c r="W257">
        <f t="shared" si="19"/>
        <v>1</v>
      </c>
    </row>
    <row r="258" spans="1:23">
      <c r="A258" t="s">
        <v>345</v>
      </c>
      <c r="B258">
        <v>46152.699236111112</v>
      </c>
      <c r="C258">
        <v>46152.821419351851</v>
      </c>
      <c r="D258">
        <v>46153.331935879629</v>
      </c>
      <c r="E258" t="s">
        <v>75</v>
      </c>
      <c r="F258" t="s">
        <v>5</v>
      </c>
      <c r="G258" t="s">
        <v>76</v>
      </c>
      <c r="H258" t="s">
        <v>88</v>
      </c>
      <c r="I258" t="s">
        <v>73</v>
      </c>
      <c r="J258" t="s">
        <v>25</v>
      </c>
      <c r="K258" t="s">
        <v>68</v>
      </c>
      <c r="L258">
        <v>4</v>
      </c>
      <c r="M258">
        <f t="shared" ref="M258:M321" si="20">IF(OR(B258="",C258=""),"",24*(C258-B258))</f>
        <v>2.9323977777385153</v>
      </c>
      <c r="N258">
        <f t="shared" ref="N258:N321" si="21">IF(OR(B258="",D258=""),"",24*(D258-B258))</f>
        <v>15.184794444416184</v>
      </c>
      <c r="O258">
        <f>VLOOKUP(F258,SLA_Targets!$A$2:$C$5,2,FALSE)</f>
        <v>4</v>
      </c>
      <c r="P258">
        <f>VLOOKUP(F258,SLA_Targets!$A$2:$C$5,3,FALSE)</f>
        <v>24</v>
      </c>
      <c r="Q258" t="str">
        <f t="shared" ref="Q258:Q321" si="22">IF(M258="","Pending",IF(M258&lt;=O258,"Met","Breached"))</f>
        <v>Met</v>
      </c>
      <c r="R258" t="str">
        <f t="shared" ref="R258:R321" si="23">IF(N258="","Pending",IF(N258&lt;=P258,"Met","Breached"))</f>
        <v>Met</v>
      </c>
      <c r="S258" t="s">
        <v>26</v>
      </c>
      <c r="T258" t="s">
        <v>27</v>
      </c>
      <c r="U258">
        <v>6.3</v>
      </c>
      <c r="V258" t="s">
        <v>15</v>
      </c>
      <c r="W258">
        <f t="shared" ref="W258:W321" si="24">COUNTIF($A$2:$A$321,A258)</f>
        <v>1</v>
      </c>
    </row>
    <row r="259" spans="1:23">
      <c r="A259" t="s">
        <v>346</v>
      </c>
      <c r="B259">
        <v>46187.849224537036</v>
      </c>
      <c r="C259">
        <v>46188.167468298612</v>
      </c>
      <c r="D259">
        <v>46188.285877002316</v>
      </c>
      <c r="E259" t="s">
        <v>75</v>
      </c>
      <c r="F259" t="s">
        <v>5</v>
      </c>
      <c r="G259" t="s">
        <v>79</v>
      </c>
      <c r="H259" t="s">
        <v>84</v>
      </c>
      <c r="I259" t="s">
        <v>89</v>
      </c>
      <c r="J259" t="s">
        <v>16</v>
      </c>
      <c r="K259" t="s">
        <v>68</v>
      </c>
      <c r="L259">
        <v>5</v>
      </c>
      <c r="M259">
        <f t="shared" si="20"/>
        <v>7.6378502778243273</v>
      </c>
      <c r="N259">
        <f t="shared" si="21"/>
        <v>10.479659166710917</v>
      </c>
      <c r="O259">
        <f>VLOOKUP(F259,SLA_Targets!$A$2:$C$5,2,FALSE)</f>
        <v>4</v>
      </c>
      <c r="P259">
        <f>VLOOKUP(F259,SLA_Targets!$A$2:$C$5,3,FALSE)</f>
        <v>24</v>
      </c>
      <c r="Q259" t="str">
        <f t="shared" si="22"/>
        <v>Breached</v>
      </c>
      <c r="R259" t="str">
        <f t="shared" si="23"/>
        <v>Met</v>
      </c>
      <c r="S259" t="s">
        <v>17</v>
      </c>
      <c r="T259" t="s">
        <v>14</v>
      </c>
      <c r="U259">
        <v>2.1</v>
      </c>
      <c r="V259" t="s">
        <v>18</v>
      </c>
      <c r="W259">
        <f t="shared" si="24"/>
        <v>1</v>
      </c>
    </row>
    <row r="260" spans="1:23">
      <c r="A260" t="s">
        <v>347</v>
      </c>
      <c r="B260">
        <v>46193.579895833333</v>
      </c>
      <c r="C260">
        <v>46193.605730717594</v>
      </c>
      <c r="D260">
        <v>46193.650164189814</v>
      </c>
      <c r="E260" t="s">
        <v>75</v>
      </c>
      <c r="F260" t="s">
        <v>3</v>
      </c>
      <c r="G260" t="s">
        <v>65</v>
      </c>
      <c r="H260" t="s">
        <v>109</v>
      </c>
      <c r="I260" t="s">
        <v>73</v>
      </c>
      <c r="J260" t="s">
        <v>23</v>
      </c>
      <c r="K260" t="s">
        <v>68</v>
      </c>
      <c r="L260">
        <v>3</v>
      </c>
      <c r="M260">
        <f t="shared" si="20"/>
        <v>0.62003722228109837</v>
      </c>
      <c r="N260">
        <f t="shared" si="21"/>
        <v>1.6864405555534177</v>
      </c>
      <c r="O260">
        <f>VLOOKUP(F260,SLA_Targets!$A$2:$C$5,2,FALSE)</f>
        <v>0.5</v>
      </c>
      <c r="P260">
        <f>VLOOKUP(F260,SLA_Targets!$A$2:$C$5,3,FALSE)</f>
        <v>4</v>
      </c>
      <c r="Q260" t="str">
        <f t="shared" si="22"/>
        <v>Breached</v>
      </c>
      <c r="R260" t="str">
        <f t="shared" si="23"/>
        <v>Met</v>
      </c>
      <c r="S260" t="s">
        <v>24</v>
      </c>
      <c r="T260" t="s">
        <v>21</v>
      </c>
      <c r="U260">
        <v>3.4</v>
      </c>
      <c r="V260" t="s">
        <v>22</v>
      </c>
      <c r="W260">
        <f t="shared" si="24"/>
        <v>1</v>
      </c>
    </row>
    <row r="261" spans="1:23">
      <c r="A261" t="s">
        <v>348</v>
      </c>
      <c r="B261">
        <v>46154.17769675926</v>
      </c>
      <c r="C261">
        <v>46154.188429108799</v>
      </c>
      <c r="D261">
        <v>46154.233263819442</v>
      </c>
      <c r="E261" t="s">
        <v>70</v>
      </c>
      <c r="F261" t="s">
        <v>3</v>
      </c>
      <c r="G261" t="s">
        <v>94</v>
      </c>
      <c r="H261" t="s">
        <v>72</v>
      </c>
      <c r="I261" t="s">
        <v>92</v>
      </c>
      <c r="J261" t="s">
        <v>37</v>
      </c>
      <c r="K261" t="s">
        <v>68</v>
      </c>
      <c r="L261">
        <v>4</v>
      </c>
      <c r="M261">
        <f t="shared" si="20"/>
        <v>0.25757638894720003</v>
      </c>
      <c r="N261">
        <f t="shared" si="21"/>
        <v>1.3336094443802722</v>
      </c>
      <c r="O261">
        <f>VLOOKUP(F261,SLA_Targets!$A$2:$C$5,2,FALSE)</f>
        <v>0.5</v>
      </c>
      <c r="P261">
        <f>VLOOKUP(F261,SLA_Targets!$A$2:$C$5,3,FALSE)</f>
        <v>4</v>
      </c>
      <c r="Q261" t="str">
        <f t="shared" si="22"/>
        <v>Met</v>
      </c>
      <c r="R261" t="str">
        <f t="shared" si="23"/>
        <v>Met</v>
      </c>
      <c r="S261" t="s">
        <v>38</v>
      </c>
      <c r="T261" t="s">
        <v>14</v>
      </c>
      <c r="U261">
        <v>1.2</v>
      </c>
      <c r="V261" t="s">
        <v>39</v>
      </c>
      <c r="W261">
        <f t="shared" si="24"/>
        <v>1</v>
      </c>
    </row>
    <row r="262" spans="1:23">
      <c r="A262" t="s">
        <v>349</v>
      </c>
      <c r="B262">
        <v>46187.69085648148</v>
      </c>
      <c r="C262">
        <v>46188.350616956021</v>
      </c>
      <c r="E262" t="s">
        <v>64</v>
      </c>
      <c r="F262" t="s">
        <v>6</v>
      </c>
      <c r="G262" t="s">
        <v>79</v>
      </c>
      <c r="H262" t="s">
        <v>72</v>
      </c>
      <c r="I262" t="s">
        <v>73</v>
      </c>
      <c r="J262" t="s">
        <v>16</v>
      </c>
      <c r="K262" t="s">
        <v>68</v>
      </c>
      <c r="M262">
        <f t="shared" si="20"/>
        <v>15.83425138896564</v>
      </c>
      <c r="N262" t="str">
        <f t="shared" si="21"/>
        <v/>
      </c>
      <c r="O262">
        <f>VLOOKUP(F262,SLA_Targets!$A$2:$C$5,2,FALSE)</f>
        <v>8</v>
      </c>
      <c r="P262">
        <f>VLOOKUP(F262,SLA_Targets!$A$2:$C$5,3,FALSE)</f>
        <v>48</v>
      </c>
      <c r="Q262" t="str">
        <f t="shared" si="22"/>
        <v>Breached</v>
      </c>
      <c r="R262" t="str">
        <f t="shared" si="23"/>
        <v>Pending</v>
      </c>
      <c r="S262" t="s">
        <v>17</v>
      </c>
      <c r="T262" t="s">
        <v>14</v>
      </c>
      <c r="U262">
        <v>2.1</v>
      </c>
      <c r="V262" t="s">
        <v>18</v>
      </c>
      <c r="W262">
        <f t="shared" si="24"/>
        <v>1</v>
      </c>
    </row>
    <row r="263" spans="1:23">
      <c r="A263" t="s">
        <v>350</v>
      </c>
      <c r="B263">
        <v>46180.108854166669</v>
      </c>
      <c r="C263">
        <v>46180.135582673611</v>
      </c>
      <c r="D263">
        <v>46180.228358078704</v>
      </c>
      <c r="E263" t="s">
        <v>75</v>
      </c>
      <c r="F263" t="s">
        <v>4</v>
      </c>
      <c r="G263" t="s">
        <v>105</v>
      </c>
      <c r="H263" t="s">
        <v>84</v>
      </c>
      <c r="I263" t="s">
        <v>89</v>
      </c>
      <c r="J263" t="s">
        <v>31</v>
      </c>
      <c r="K263" t="s">
        <v>68</v>
      </c>
      <c r="L263">
        <v>5</v>
      </c>
      <c r="M263">
        <f t="shared" si="20"/>
        <v>0.64148416661191732</v>
      </c>
      <c r="N263">
        <f t="shared" si="21"/>
        <v>2.8680938888574019</v>
      </c>
      <c r="O263">
        <f>VLOOKUP(F263,SLA_Targets!$A$2:$C$5,2,FALSE)</f>
        <v>1</v>
      </c>
      <c r="P263">
        <f>VLOOKUP(F263,SLA_Targets!$A$2:$C$5,3,FALSE)</f>
        <v>8</v>
      </c>
      <c r="Q263" t="str">
        <f t="shared" si="22"/>
        <v>Met</v>
      </c>
      <c r="R263" t="str">
        <f t="shared" si="23"/>
        <v>Met</v>
      </c>
      <c r="S263" t="s">
        <v>32</v>
      </c>
      <c r="T263" t="s">
        <v>33</v>
      </c>
      <c r="U263">
        <v>7.1</v>
      </c>
      <c r="V263" t="s">
        <v>18</v>
      </c>
      <c r="W263">
        <f t="shared" si="24"/>
        <v>1</v>
      </c>
    </row>
    <row r="264" spans="1:23">
      <c r="A264" t="s">
        <v>351</v>
      </c>
      <c r="B264">
        <v>46160.176296296297</v>
      </c>
      <c r="C264">
        <v>46160.208850254632</v>
      </c>
      <c r="D264">
        <v>46160.286524861112</v>
      </c>
      <c r="E264" t="s">
        <v>70</v>
      </c>
      <c r="F264" t="s">
        <v>4</v>
      </c>
      <c r="G264" t="s">
        <v>65</v>
      </c>
      <c r="H264" t="s">
        <v>88</v>
      </c>
      <c r="I264" t="s">
        <v>89</v>
      </c>
      <c r="J264" t="s">
        <v>23</v>
      </c>
      <c r="K264" t="s">
        <v>68</v>
      </c>
      <c r="L264">
        <v>3</v>
      </c>
      <c r="M264">
        <f t="shared" si="20"/>
        <v>0.7812950000516139</v>
      </c>
      <c r="N264">
        <f t="shared" si="21"/>
        <v>2.6454855555784889</v>
      </c>
      <c r="O264">
        <f>VLOOKUP(F264,SLA_Targets!$A$2:$C$5,2,FALSE)</f>
        <v>1</v>
      </c>
      <c r="P264">
        <f>VLOOKUP(F264,SLA_Targets!$A$2:$C$5,3,FALSE)</f>
        <v>8</v>
      </c>
      <c r="Q264" t="str">
        <f t="shared" si="22"/>
        <v>Met</v>
      </c>
      <c r="R264" t="str">
        <f t="shared" si="23"/>
        <v>Met</v>
      </c>
      <c r="S264" t="s">
        <v>24</v>
      </c>
      <c r="T264" t="s">
        <v>21</v>
      </c>
      <c r="U264">
        <v>3.4</v>
      </c>
      <c r="V264" t="s">
        <v>22</v>
      </c>
      <c r="W264">
        <f t="shared" si="24"/>
        <v>1</v>
      </c>
    </row>
    <row r="265" spans="1:23">
      <c r="A265" t="s">
        <v>352</v>
      </c>
      <c r="B265">
        <v>46191.088518518518</v>
      </c>
      <c r="C265">
        <v>46191.309980057871</v>
      </c>
      <c r="D265">
        <v>46192.480095706022</v>
      </c>
      <c r="E265" t="s">
        <v>75</v>
      </c>
      <c r="F265" t="s">
        <v>5</v>
      </c>
      <c r="G265" t="s">
        <v>71</v>
      </c>
      <c r="H265" t="s">
        <v>109</v>
      </c>
      <c r="I265" t="s">
        <v>73</v>
      </c>
      <c r="J265" t="s">
        <v>40</v>
      </c>
      <c r="K265" t="s">
        <v>68</v>
      </c>
      <c r="L265">
        <v>4</v>
      </c>
      <c r="M265">
        <f t="shared" si="20"/>
        <v>5.3150769444764592</v>
      </c>
      <c r="N265">
        <f t="shared" si="21"/>
        <v>33.397852500085719</v>
      </c>
      <c r="O265">
        <f>VLOOKUP(F265,SLA_Targets!$A$2:$C$5,2,FALSE)</f>
        <v>4</v>
      </c>
      <c r="P265">
        <f>VLOOKUP(F265,SLA_Targets!$A$2:$C$5,3,FALSE)</f>
        <v>24</v>
      </c>
      <c r="Q265" t="str">
        <f t="shared" si="22"/>
        <v>Breached</v>
      </c>
      <c r="R265" t="str">
        <f t="shared" si="23"/>
        <v>Breached</v>
      </c>
      <c r="S265" t="s">
        <v>41</v>
      </c>
      <c r="T265" t="s">
        <v>27</v>
      </c>
      <c r="U265">
        <v>4.8</v>
      </c>
      <c r="V265" t="s">
        <v>39</v>
      </c>
      <c r="W265">
        <f t="shared" si="24"/>
        <v>1</v>
      </c>
    </row>
    <row r="266" spans="1:23">
      <c r="A266" t="s">
        <v>353</v>
      </c>
      <c r="B266">
        <v>46149.337847222225</v>
      </c>
      <c r="C266">
        <v>46149.341837175925</v>
      </c>
      <c r="D266">
        <v>46149.49523453704</v>
      </c>
      <c r="E266" t="s">
        <v>70</v>
      </c>
      <c r="F266" t="s">
        <v>3</v>
      </c>
      <c r="G266" t="s">
        <v>65</v>
      </c>
      <c r="H266" t="s">
        <v>72</v>
      </c>
      <c r="I266" t="s">
        <v>89</v>
      </c>
      <c r="J266" t="s">
        <v>23</v>
      </c>
      <c r="K266" t="s">
        <v>68</v>
      </c>
      <c r="L266">
        <v>4</v>
      </c>
      <c r="M266">
        <f t="shared" si="20"/>
        <v>9.5758888812270015E-2</v>
      </c>
      <c r="N266">
        <f t="shared" si="21"/>
        <v>3.7772955555701628</v>
      </c>
      <c r="O266">
        <f>VLOOKUP(F266,SLA_Targets!$A$2:$C$5,2,FALSE)</f>
        <v>0.5</v>
      </c>
      <c r="P266">
        <f>VLOOKUP(F266,SLA_Targets!$A$2:$C$5,3,FALSE)</f>
        <v>4</v>
      </c>
      <c r="Q266" t="str">
        <f t="shared" si="22"/>
        <v>Met</v>
      </c>
      <c r="R266" t="str">
        <f t="shared" si="23"/>
        <v>Met</v>
      </c>
      <c r="S266" t="s">
        <v>24</v>
      </c>
      <c r="T266" t="s">
        <v>21</v>
      </c>
      <c r="U266">
        <v>3.4</v>
      </c>
      <c r="V266" t="s">
        <v>22</v>
      </c>
      <c r="W266">
        <f t="shared" si="24"/>
        <v>1</v>
      </c>
    </row>
    <row r="267" spans="1:23">
      <c r="A267" t="s">
        <v>354</v>
      </c>
      <c r="B267">
        <v>46178.774606481478</v>
      </c>
      <c r="C267">
        <v>46178.784272731478</v>
      </c>
      <c r="D267">
        <v>46178.827919756943</v>
      </c>
      <c r="E267" t="s">
        <v>70</v>
      </c>
      <c r="F267" t="s">
        <v>3</v>
      </c>
      <c r="G267" t="s">
        <v>65</v>
      </c>
      <c r="H267" t="s">
        <v>84</v>
      </c>
      <c r="I267" t="s">
        <v>92</v>
      </c>
      <c r="J267" t="s">
        <v>19</v>
      </c>
      <c r="K267" t="s">
        <v>68</v>
      </c>
      <c r="L267">
        <v>4</v>
      </c>
      <c r="M267">
        <f t="shared" si="20"/>
        <v>0.23199000000022352</v>
      </c>
      <c r="N267">
        <f t="shared" si="21"/>
        <v>1.2795186111470684</v>
      </c>
      <c r="O267">
        <f>VLOOKUP(F267,SLA_Targets!$A$2:$C$5,2,FALSE)</f>
        <v>0.5</v>
      </c>
      <c r="P267">
        <f>VLOOKUP(F267,SLA_Targets!$A$2:$C$5,3,FALSE)</f>
        <v>4</v>
      </c>
      <c r="Q267" t="str">
        <f t="shared" si="22"/>
        <v>Met</v>
      </c>
      <c r="R267" t="str">
        <f t="shared" si="23"/>
        <v>Met</v>
      </c>
      <c r="S267" t="s">
        <v>20</v>
      </c>
      <c r="T267" t="s">
        <v>21</v>
      </c>
      <c r="U267">
        <v>5.6</v>
      </c>
      <c r="V267" t="s">
        <v>22</v>
      </c>
      <c r="W267">
        <f t="shared" si="24"/>
        <v>1</v>
      </c>
    </row>
    <row r="268" spans="1:23">
      <c r="A268" t="s">
        <v>355</v>
      </c>
      <c r="B268">
        <v>46122.087569444448</v>
      </c>
      <c r="C268">
        <v>46122.165888240743</v>
      </c>
      <c r="D268">
        <v>46122.947239363428</v>
      </c>
      <c r="E268" t="s">
        <v>75</v>
      </c>
      <c r="F268" t="s">
        <v>5</v>
      </c>
      <c r="G268" t="s">
        <v>71</v>
      </c>
      <c r="H268" t="s">
        <v>106</v>
      </c>
      <c r="I268" t="s">
        <v>92</v>
      </c>
      <c r="J268" t="s">
        <v>40</v>
      </c>
      <c r="K268" t="s">
        <v>68</v>
      </c>
      <c r="L268">
        <v>4</v>
      </c>
      <c r="M268">
        <f t="shared" si="20"/>
        <v>1.8796511110849679</v>
      </c>
      <c r="N268">
        <f t="shared" si="21"/>
        <v>20.632078055525199</v>
      </c>
      <c r="O268">
        <f>VLOOKUP(F268,SLA_Targets!$A$2:$C$5,2,FALSE)</f>
        <v>4</v>
      </c>
      <c r="P268">
        <f>VLOOKUP(F268,SLA_Targets!$A$2:$C$5,3,FALSE)</f>
        <v>24</v>
      </c>
      <c r="Q268" t="str">
        <f t="shared" si="22"/>
        <v>Met</v>
      </c>
      <c r="R268" t="str">
        <f t="shared" si="23"/>
        <v>Met</v>
      </c>
      <c r="S268" t="s">
        <v>41</v>
      </c>
      <c r="T268" t="s">
        <v>27</v>
      </c>
      <c r="U268">
        <v>4.8</v>
      </c>
      <c r="V268" t="s">
        <v>39</v>
      </c>
      <c r="W268">
        <f t="shared" si="24"/>
        <v>1</v>
      </c>
    </row>
    <row r="269" spans="1:23">
      <c r="A269" t="s">
        <v>356</v>
      </c>
      <c r="B269">
        <v>46191.291284722225</v>
      </c>
      <c r="C269">
        <v>46191.336993750003</v>
      </c>
      <c r="D269">
        <v>46191.557843032409</v>
      </c>
      <c r="E269" t="s">
        <v>75</v>
      </c>
      <c r="F269" t="s">
        <v>4</v>
      </c>
      <c r="G269" t="s">
        <v>71</v>
      </c>
      <c r="H269" t="s">
        <v>88</v>
      </c>
      <c r="I269" t="s">
        <v>92</v>
      </c>
      <c r="J269" t="s">
        <v>40</v>
      </c>
      <c r="K269" t="s">
        <v>85</v>
      </c>
      <c r="L269">
        <v>5</v>
      </c>
      <c r="M269">
        <f t="shared" si="20"/>
        <v>1.0970166666666046</v>
      </c>
      <c r="N269">
        <f t="shared" si="21"/>
        <v>6.3973994444240816</v>
      </c>
      <c r="O269">
        <f>VLOOKUP(F269,SLA_Targets!$A$2:$C$5,2,FALSE)</f>
        <v>1</v>
      </c>
      <c r="P269">
        <f>VLOOKUP(F269,SLA_Targets!$A$2:$C$5,3,FALSE)</f>
        <v>8</v>
      </c>
      <c r="Q269" t="str">
        <f t="shared" si="22"/>
        <v>Breached</v>
      </c>
      <c r="R269" t="str">
        <f t="shared" si="23"/>
        <v>Met</v>
      </c>
      <c r="S269" t="s">
        <v>41</v>
      </c>
      <c r="T269" t="s">
        <v>27</v>
      </c>
      <c r="U269">
        <v>4.8</v>
      </c>
      <c r="V269" t="s">
        <v>39</v>
      </c>
      <c r="W269">
        <f t="shared" si="24"/>
        <v>1</v>
      </c>
    </row>
    <row r="270" spans="1:23">
      <c r="A270" t="s">
        <v>357</v>
      </c>
      <c r="B270">
        <v>46119.892199074071</v>
      </c>
      <c r="C270">
        <v>46120.042477129631</v>
      </c>
      <c r="D270">
        <v>46121.347193321759</v>
      </c>
      <c r="E270" t="s">
        <v>75</v>
      </c>
      <c r="F270" t="s">
        <v>6</v>
      </c>
      <c r="G270" t="s">
        <v>94</v>
      </c>
      <c r="H270" t="s">
        <v>66</v>
      </c>
      <c r="I270" t="s">
        <v>73</v>
      </c>
      <c r="J270" t="s">
        <v>12</v>
      </c>
      <c r="K270" t="s">
        <v>68</v>
      </c>
      <c r="L270">
        <v>4</v>
      </c>
      <c r="M270">
        <f t="shared" si="20"/>
        <v>3.6066733334446326</v>
      </c>
      <c r="N270">
        <f t="shared" si="21"/>
        <v>34.919861944508739</v>
      </c>
      <c r="O270">
        <f>VLOOKUP(F270,SLA_Targets!$A$2:$C$5,2,FALSE)</f>
        <v>8</v>
      </c>
      <c r="P270">
        <f>VLOOKUP(F270,SLA_Targets!$A$2:$C$5,3,FALSE)</f>
        <v>48</v>
      </c>
      <c r="Q270" t="str">
        <f t="shared" si="22"/>
        <v>Met</v>
      </c>
      <c r="R270" t="str">
        <f t="shared" si="23"/>
        <v>Met</v>
      </c>
      <c r="S270" t="s">
        <v>13</v>
      </c>
      <c r="T270" t="s">
        <v>14</v>
      </c>
      <c r="U270">
        <v>4.2</v>
      </c>
      <c r="V270" t="s">
        <v>15</v>
      </c>
      <c r="W270">
        <f t="shared" si="24"/>
        <v>1</v>
      </c>
    </row>
    <row r="271" spans="1:23">
      <c r="A271" t="s">
        <v>358</v>
      </c>
      <c r="B271">
        <v>46130.662569444445</v>
      </c>
      <c r="C271">
        <v>46130.698990254627</v>
      </c>
      <c r="D271">
        <v>46130.86503306713</v>
      </c>
      <c r="E271" t="s">
        <v>75</v>
      </c>
      <c r="F271" t="s">
        <v>4</v>
      </c>
      <c r="G271" t="s">
        <v>71</v>
      </c>
      <c r="H271" t="s">
        <v>88</v>
      </c>
      <c r="I271" t="s">
        <v>92</v>
      </c>
      <c r="J271" t="s">
        <v>40</v>
      </c>
      <c r="K271" t="s">
        <v>68</v>
      </c>
      <c r="L271">
        <v>5</v>
      </c>
      <c r="M271">
        <f t="shared" si="20"/>
        <v>0.87409944436512887</v>
      </c>
      <c r="N271">
        <f t="shared" si="21"/>
        <v>4.8591269444441423</v>
      </c>
      <c r="O271">
        <f>VLOOKUP(F271,SLA_Targets!$A$2:$C$5,2,FALSE)</f>
        <v>1</v>
      </c>
      <c r="P271">
        <f>VLOOKUP(F271,SLA_Targets!$A$2:$C$5,3,FALSE)</f>
        <v>8</v>
      </c>
      <c r="Q271" t="str">
        <f t="shared" si="22"/>
        <v>Met</v>
      </c>
      <c r="R271" t="str">
        <f t="shared" si="23"/>
        <v>Met</v>
      </c>
      <c r="S271" t="s">
        <v>41</v>
      </c>
      <c r="T271" t="s">
        <v>27</v>
      </c>
      <c r="U271">
        <v>4.8</v>
      </c>
      <c r="V271" t="s">
        <v>39</v>
      </c>
      <c r="W271">
        <f t="shared" si="24"/>
        <v>1</v>
      </c>
    </row>
    <row r="272" spans="1:23">
      <c r="A272" t="s">
        <v>359</v>
      </c>
      <c r="B272">
        <v>46123.691828703704</v>
      </c>
      <c r="C272">
        <v>46123.702508599534</v>
      </c>
      <c r="D272">
        <v>46123.849432071758</v>
      </c>
      <c r="E272" t="s">
        <v>75</v>
      </c>
      <c r="F272" t="s">
        <v>3</v>
      </c>
      <c r="G272" t="s">
        <v>65</v>
      </c>
      <c r="H272" t="s">
        <v>77</v>
      </c>
      <c r="I272" t="s">
        <v>73</v>
      </c>
      <c r="J272" t="s">
        <v>42</v>
      </c>
      <c r="K272" t="s">
        <v>68</v>
      </c>
      <c r="L272">
        <v>4</v>
      </c>
      <c r="M272">
        <f t="shared" si="20"/>
        <v>0.25631749990861863</v>
      </c>
      <c r="N272">
        <f t="shared" si="21"/>
        <v>3.7824808332952671</v>
      </c>
      <c r="O272">
        <f>VLOOKUP(F272,SLA_Targets!$A$2:$C$5,2,FALSE)</f>
        <v>0.5</v>
      </c>
      <c r="P272">
        <f>VLOOKUP(F272,SLA_Targets!$A$2:$C$5,3,FALSE)</f>
        <v>4</v>
      </c>
      <c r="Q272" t="str">
        <f t="shared" si="22"/>
        <v>Met</v>
      </c>
      <c r="R272" t="str">
        <f t="shared" si="23"/>
        <v>Met</v>
      </c>
      <c r="S272" t="s">
        <v>43</v>
      </c>
      <c r="T272" t="s">
        <v>21</v>
      </c>
      <c r="U272">
        <v>2.7</v>
      </c>
      <c r="V272" t="s">
        <v>36</v>
      </c>
      <c r="W272">
        <f t="shared" si="24"/>
        <v>1</v>
      </c>
    </row>
    <row r="273" spans="1:23">
      <c r="A273" t="s">
        <v>360</v>
      </c>
      <c r="B273">
        <v>46186.167546296296</v>
      </c>
      <c r="C273">
        <v>46186.173629432873</v>
      </c>
      <c r="D273">
        <v>46186.409438807874</v>
      </c>
      <c r="E273" t="s">
        <v>75</v>
      </c>
      <c r="F273" t="s">
        <v>3</v>
      </c>
      <c r="G273" t="s">
        <v>76</v>
      </c>
      <c r="H273" t="s">
        <v>77</v>
      </c>
      <c r="I273" t="s">
        <v>73</v>
      </c>
      <c r="J273" t="s">
        <v>28</v>
      </c>
      <c r="K273" t="s">
        <v>68</v>
      </c>
      <c r="L273">
        <v>4</v>
      </c>
      <c r="M273">
        <f t="shared" si="20"/>
        <v>0.14599527785321698</v>
      </c>
      <c r="N273">
        <f t="shared" si="21"/>
        <v>5.8054202778730541</v>
      </c>
      <c r="O273">
        <f>VLOOKUP(F273,SLA_Targets!$A$2:$C$5,2,FALSE)</f>
        <v>0.5</v>
      </c>
      <c r="P273">
        <f>VLOOKUP(F273,SLA_Targets!$A$2:$C$5,3,FALSE)</f>
        <v>4</v>
      </c>
      <c r="Q273" t="str">
        <f t="shared" si="22"/>
        <v>Met</v>
      </c>
      <c r="R273" t="str">
        <f t="shared" si="23"/>
        <v>Breached</v>
      </c>
      <c r="S273" t="s">
        <v>29</v>
      </c>
      <c r="T273" t="s">
        <v>27</v>
      </c>
      <c r="U273">
        <v>1.8</v>
      </c>
      <c r="V273" t="s">
        <v>30</v>
      </c>
      <c r="W273">
        <f t="shared" si="24"/>
        <v>1</v>
      </c>
    </row>
    <row r="274" spans="1:23">
      <c r="A274" t="s">
        <v>361</v>
      </c>
      <c r="B274">
        <v>46114.150694444441</v>
      </c>
      <c r="C274">
        <v>46114.160463182867</v>
      </c>
      <c r="D274">
        <v>46114.20054027778</v>
      </c>
      <c r="E274" t="s">
        <v>75</v>
      </c>
      <c r="F274" t="s">
        <v>3</v>
      </c>
      <c r="G274" t="s">
        <v>65</v>
      </c>
      <c r="H274" t="s">
        <v>80</v>
      </c>
      <c r="I274" t="s">
        <v>73</v>
      </c>
      <c r="J274" t="s">
        <v>42</v>
      </c>
      <c r="K274" t="s">
        <v>68</v>
      </c>
      <c r="L274">
        <v>4</v>
      </c>
      <c r="M274">
        <f t="shared" si="20"/>
        <v>0.23444972222205251</v>
      </c>
      <c r="N274">
        <f t="shared" si="21"/>
        <v>1.1963000001269393</v>
      </c>
      <c r="O274">
        <f>VLOOKUP(F274,SLA_Targets!$A$2:$C$5,2,FALSE)</f>
        <v>0.5</v>
      </c>
      <c r="P274">
        <f>VLOOKUP(F274,SLA_Targets!$A$2:$C$5,3,FALSE)</f>
        <v>4</v>
      </c>
      <c r="Q274" t="str">
        <f t="shared" si="22"/>
        <v>Met</v>
      </c>
      <c r="R274" t="str">
        <f t="shared" si="23"/>
        <v>Met</v>
      </c>
      <c r="S274" t="s">
        <v>43</v>
      </c>
      <c r="T274" t="s">
        <v>21</v>
      </c>
      <c r="U274">
        <v>2.7</v>
      </c>
      <c r="V274" t="s">
        <v>36</v>
      </c>
      <c r="W274">
        <f t="shared" si="24"/>
        <v>1</v>
      </c>
    </row>
    <row r="275" spans="1:23">
      <c r="A275" t="s">
        <v>362</v>
      </c>
      <c r="B275">
        <v>46186.364293981482</v>
      </c>
      <c r="C275">
        <v>46186.916009166664</v>
      </c>
      <c r="D275">
        <v>46188.766449143521</v>
      </c>
      <c r="E275" t="s">
        <v>75</v>
      </c>
      <c r="F275" t="s">
        <v>6</v>
      </c>
      <c r="G275" t="s">
        <v>94</v>
      </c>
      <c r="H275" t="s">
        <v>77</v>
      </c>
      <c r="I275" t="s">
        <v>89</v>
      </c>
      <c r="J275" t="s">
        <v>16</v>
      </c>
      <c r="K275" t="s">
        <v>68</v>
      </c>
      <c r="L275">
        <v>4</v>
      </c>
      <c r="M275">
        <f t="shared" si="20"/>
        <v>13.241164444363676</v>
      </c>
      <c r="N275">
        <f t="shared" si="21"/>
        <v>57.651723888935521</v>
      </c>
      <c r="O275">
        <f>VLOOKUP(F275,SLA_Targets!$A$2:$C$5,2,FALSE)</f>
        <v>8</v>
      </c>
      <c r="P275">
        <f>VLOOKUP(F275,SLA_Targets!$A$2:$C$5,3,FALSE)</f>
        <v>48</v>
      </c>
      <c r="Q275" t="str">
        <f t="shared" si="22"/>
        <v>Breached</v>
      </c>
      <c r="R275" t="str">
        <f t="shared" si="23"/>
        <v>Breached</v>
      </c>
      <c r="S275" t="s">
        <v>17</v>
      </c>
      <c r="T275" t="s">
        <v>14</v>
      </c>
      <c r="U275">
        <v>2.1</v>
      </c>
      <c r="V275" t="s">
        <v>18</v>
      </c>
      <c r="W275">
        <f t="shared" si="24"/>
        <v>1</v>
      </c>
    </row>
    <row r="276" spans="1:23">
      <c r="A276" t="s">
        <v>363</v>
      </c>
      <c r="B276">
        <v>46185.038645833331</v>
      </c>
      <c r="C276">
        <v>46185.194851736109</v>
      </c>
      <c r="D276">
        <v>46185.464385115738</v>
      </c>
      <c r="E276" t="s">
        <v>75</v>
      </c>
      <c r="F276" t="s">
        <v>5</v>
      </c>
      <c r="G276" t="s">
        <v>65</v>
      </c>
      <c r="H276" t="s">
        <v>72</v>
      </c>
      <c r="I276" t="s">
        <v>73</v>
      </c>
      <c r="J276" t="s">
        <v>19</v>
      </c>
      <c r="K276" t="s">
        <v>68</v>
      </c>
      <c r="L276">
        <v>5</v>
      </c>
      <c r="M276">
        <f t="shared" si="20"/>
        <v>3.7489416666794568</v>
      </c>
      <c r="N276">
        <f t="shared" si="21"/>
        <v>10.217742777778767</v>
      </c>
      <c r="O276">
        <f>VLOOKUP(F276,SLA_Targets!$A$2:$C$5,2,FALSE)</f>
        <v>4</v>
      </c>
      <c r="P276">
        <f>VLOOKUP(F276,SLA_Targets!$A$2:$C$5,3,FALSE)</f>
        <v>24</v>
      </c>
      <c r="Q276" t="str">
        <f t="shared" si="22"/>
        <v>Met</v>
      </c>
      <c r="R276" t="str">
        <f t="shared" si="23"/>
        <v>Met</v>
      </c>
      <c r="S276" t="s">
        <v>20</v>
      </c>
      <c r="T276" t="s">
        <v>21</v>
      </c>
      <c r="U276">
        <v>5.6</v>
      </c>
      <c r="V276" t="s">
        <v>22</v>
      </c>
      <c r="W276">
        <f t="shared" si="24"/>
        <v>1</v>
      </c>
    </row>
    <row r="277" spans="1:23">
      <c r="A277" t="s">
        <v>364</v>
      </c>
      <c r="B277">
        <v>46129.192256944443</v>
      </c>
      <c r="C277">
        <v>46129.239967222224</v>
      </c>
      <c r="D277">
        <v>46129.732757361111</v>
      </c>
      <c r="E277" t="s">
        <v>75</v>
      </c>
      <c r="F277" t="s">
        <v>5</v>
      </c>
      <c r="G277" t="s">
        <v>65</v>
      </c>
      <c r="H277" t="s">
        <v>80</v>
      </c>
      <c r="I277" t="s">
        <v>67</v>
      </c>
      <c r="J277" t="s">
        <v>23</v>
      </c>
      <c r="K277" t="s">
        <v>68</v>
      </c>
      <c r="L277">
        <v>5</v>
      </c>
      <c r="M277">
        <f t="shared" si="20"/>
        <v>1.1450466667301953</v>
      </c>
      <c r="N277">
        <f t="shared" si="21"/>
        <v>12.972010000026785</v>
      </c>
      <c r="O277">
        <f>VLOOKUP(F277,SLA_Targets!$A$2:$C$5,2,FALSE)</f>
        <v>4</v>
      </c>
      <c r="P277">
        <f>VLOOKUP(F277,SLA_Targets!$A$2:$C$5,3,FALSE)</f>
        <v>24</v>
      </c>
      <c r="Q277" t="str">
        <f t="shared" si="22"/>
        <v>Met</v>
      </c>
      <c r="R277" t="str">
        <f t="shared" si="23"/>
        <v>Met</v>
      </c>
      <c r="S277" t="s">
        <v>24</v>
      </c>
      <c r="T277" t="s">
        <v>21</v>
      </c>
      <c r="U277">
        <v>3.4</v>
      </c>
      <c r="V277" t="s">
        <v>22</v>
      </c>
      <c r="W277">
        <f t="shared" si="24"/>
        <v>1</v>
      </c>
    </row>
    <row r="278" spans="1:23">
      <c r="A278" t="s">
        <v>365</v>
      </c>
      <c r="B278">
        <v>46179.314571759256</v>
      </c>
      <c r="C278">
        <v>46179.334522025463</v>
      </c>
      <c r="D278">
        <v>46179.443631770831</v>
      </c>
      <c r="E278" t="s">
        <v>75</v>
      </c>
      <c r="F278" t="s">
        <v>3</v>
      </c>
      <c r="G278" t="s">
        <v>83</v>
      </c>
      <c r="H278" t="s">
        <v>84</v>
      </c>
      <c r="I278" t="s">
        <v>73</v>
      </c>
      <c r="J278" t="s">
        <v>44</v>
      </c>
      <c r="K278" t="s">
        <v>68</v>
      </c>
      <c r="L278">
        <v>5</v>
      </c>
      <c r="M278">
        <f t="shared" si="20"/>
        <v>0.47880638897186145</v>
      </c>
      <c r="N278">
        <f t="shared" si="21"/>
        <v>3.0974402778083459</v>
      </c>
      <c r="O278">
        <f>VLOOKUP(F278,SLA_Targets!$A$2:$C$5,2,FALSE)</f>
        <v>0.5</v>
      </c>
      <c r="P278">
        <f>VLOOKUP(F278,SLA_Targets!$A$2:$C$5,3,FALSE)</f>
        <v>4</v>
      </c>
      <c r="Q278" t="str">
        <f t="shared" si="22"/>
        <v>Met</v>
      </c>
      <c r="R278" t="str">
        <f t="shared" si="23"/>
        <v>Met</v>
      </c>
      <c r="S278" t="s">
        <v>45</v>
      </c>
      <c r="T278" t="s">
        <v>33</v>
      </c>
      <c r="U278">
        <v>5.0999999999999996</v>
      </c>
      <c r="V278" t="s">
        <v>30</v>
      </c>
      <c r="W278">
        <f t="shared" si="24"/>
        <v>1</v>
      </c>
    </row>
    <row r="279" spans="1:23">
      <c r="A279" t="s">
        <v>366</v>
      </c>
      <c r="B279">
        <v>46174.623900462961</v>
      </c>
      <c r="C279">
        <v>46174.702349583335</v>
      </c>
      <c r="D279">
        <v>46175.886366643521</v>
      </c>
      <c r="E279" t="s">
        <v>70</v>
      </c>
      <c r="F279" t="s">
        <v>5</v>
      </c>
      <c r="G279" t="s">
        <v>76</v>
      </c>
      <c r="H279" t="s">
        <v>80</v>
      </c>
      <c r="I279" t="s">
        <v>73</v>
      </c>
      <c r="J279" t="s">
        <v>25</v>
      </c>
      <c r="K279" t="s">
        <v>68</v>
      </c>
      <c r="L279">
        <v>3</v>
      </c>
      <c r="M279">
        <f t="shared" si="20"/>
        <v>1.8827788889757358</v>
      </c>
      <c r="N279">
        <f t="shared" si="21"/>
        <v>30.299188333447091</v>
      </c>
      <c r="O279">
        <f>VLOOKUP(F279,SLA_Targets!$A$2:$C$5,2,FALSE)</f>
        <v>4</v>
      </c>
      <c r="P279">
        <f>VLOOKUP(F279,SLA_Targets!$A$2:$C$5,3,FALSE)</f>
        <v>24</v>
      </c>
      <c r="Q279" t="str">
        <f t="shared" si="22"/>
        <v>Met</v>
      </c>
      <c r="R279" t="str">
        <f t="shared" si="23"/>
        <v>Breached</v>
      </c>
      <c r="S279" t="s">
        <v>26</v>
      </c>
      <c r="T279" t="s">
        <v>27</v>
      </c>
      <c r="U279">
        <v>6.3</v>
      </c>
      <c r="V279" t="s">
        <v>15</v>
      </c>
      <c r="W279">
        <f t="shared" si="24"/>
        <v>1</v>
      </c>
    </row>
    <row r="280" spans="1:23">
      <c r="A280" t="s">
        <v>367</v>
      </c>
      <c r="B280">
        <v>46148.593136574076</v>
      </c>
      <c r="C280">
        <v>46148.633279097223</v>
      </c>
      <c r="D280">
        <v>46148.778781550929</v>
      </c>
      <c r="E280" t="s">
        <v>70</v>
      </c>
      <c r="F280" t="s">
        <v>4</v>
      </c>
      <c r="G280" t="s">
        <v>105</v>
      </c>
      <c r="H280" t="s">
        <v>72</v>
      </c>
      <c r="I280" t="s">
        <v>73</v>
      </c>
      <c r="J280" t="s">
        <v>34</v>
      </c>
      <c r="K280" t="s">
        <v>68</v>
      </c>
      <c r="L280">
        <v>5</v>
      </c>
      <c r="M280">
        <f t="shared" si="20"/>
        <v>0.96342055551940575</v>
      </c>
      <c r="N280">
        <f t="shared" si="21"/>
        <v>4.4554794444702566</v>
      </c>
      <c r="O280">
        <f>VLOOKUP(F280,SLA_Targets!$A$2:$C$5,2,FALSE)</f>
        <v>1</v>
      </c>
      <c r="P280">
        <f>VLOOKUP(F280,SLA_Targets!$A$2:$C$5,3,FALSE)</f>
        <v>8</v>
      </c>
      <c r="Q280" t="str">
        <f t="shared" si="22"/>
        <v>Met</v>
      </c>
      <c r="R280" t="str">
        <f t="shared" si="23"/>
        <v>Met</v>
      </c>
      <c r="S280" t="s">
        <v>35</v>
      </c>
      <c r="T280" t="s">
        <v>33</v>
      </c>
      <c r="U280">
        <v>3</v>
      </c>
      <c r="V280" t="s">
        <v>36</v>
      </c>
      <c r="W280">
        <f t="shared" si="24"/>
        <v>1</v>
      </c>
    </row>
    <row r="281" spans="1:23">
      <c r="A281" t="s">
        <v>368</v>
      </c>
      <c r="B281">
        <v>46187.607106481482</v>
      </c>
      <c r="C281">
        <v>46187.6310231713</v>
      </c>
      <c r="D281">
        <v>46187.715372881947</v>
      </c>
      <c r="E281" t="s">
        <v>75</v>
      </c>
      <c r="F281" t="s">
        <v>3</v>
      </c>
      <c r="G281" t="s">
        <v>83</v>
      </c>
      <c r="H281" t="s">
        <v>84</v>
      </c>
      <c r="I281" t="s">
        <v>89</v>
      </c>
      <c r="J281" t="s">
        <v>44</v>
      </c>
      <c r="K281" t="s">
        <v>68</v>
      </c>
      <c r="L281">
        <v>4</v>
      </c>
      <c r="M281">
        <f t="shared" si="20"/>
        <v>0.57400055561447516</v>
      </c>
      <c r="N281">
        <f t="shared" si="21"/>
        <v>2.5983936111442745</v>
      </c>
      <c r="O281">
        <f>VLOOKUP(F281,SLA_Targets!$A$2:$C$5,2,FALSE)</f>
        <v>0.5</v>
      </c>
      <c r="P281">
        <f>VLOOKUP(F281,SLA_Targets!$A$2:$C$5,3,FALSE)</f>
        <v>4</v>
      </c>
      <c r="Q281" t="str">
        <f t="shared" si="22"/>
        <v>Breached</v>
      </c>
      <c r="R281" t="str">
        <f t="shared" si="23"/>
        <v>Met</v>
      </c>
      <c r="S281" t="s">
        <v>45</v>
      </c>
      <c r="T281" t="s">
        <v>33</v>
      </c>
      <c r="U281">
        <v>5.0999999999999996</v>
      </c>
      <c r="V281" t="s">
        <v>30</v>
      </c>
      <c r="W281">
        <f t="shared" si="24"/>
        <v>1</v>
      </c>
    </row>
    <row r="282" spans="1:23">
      <c r="A282" t="s">
        <v>369</v>
      </c>
      <c r="B282">
        <v>46116.10732638889</v>
      </c>
      <c r="C282">
        <v>46116.127175810187</v>
      </c>
      <c r="D282">
        <v>46116.135509143518</v>
      </c>
      <c r="E282" t="s">
        <v>75</v>
      </c>
      <c r="F282" t="s">
        <v>4</v>
      </c>
      <c r="G282" t="s">
        <v>65</v>
      </c>
      <c r="H282" t="s">
        <v>77</v>
      </c>
      <c r="I282" t="s">
        <v>92</v>
      </c>
      <c r="J282" t="s">
        <v>23</v>
      </c>
      <c r="K282" t="s">
        <v>68</v>
      </c>
      <c r="L282">
        <v>4</v>
      </c>
      <c r="M282">
        <f t="shared" si="20"/>
        <v>0.47638611111324281</v>
      </c>
      <c r="N282">
        <f t="shared" si="21"/>
        <v>0.67638611106667668</v>
      </c>
      <c r="O282">
        <f>VLOOKUP(F282,SLA_Targets!$A$2:$C$5,2,FALSE)</f>
        <v>1</v>
      </c>
      <c r="P282">
        <f>VLOOKUP(F282,SLA_Targets!$A$2:$C$5,3,FALSE)</f>
        <v>8</v>
      </c>
      <c r="Q282" t="str">
        <f t="shared" si="22"/>
        <v>Met</v>
      </c>
      <c r="R282" t="str">
        <f t="shared" si="23"/>
        <v>Met</v>
      </c>
      <c r="S282" t="s">
        <v>24</v>
      </c>
      <c r="T282" t="s">
        <v>21</v>
      </c>
      <c r="U282">
        <v>3.4</v>
      </c>
      <c r="V282" t="s">
        <v>22</v>
      </c>
      <c r="W282">
        <f t="shared" si="24"/>
        <v>1</v>
      </c>
    </row>
    <row r="283" spans="1:23">
      <c r="A283" t="s">
        <v>370</v>
      </c>
      <c r="B283">
        <v>46168.090787037036</v>
      </c>
      <c r="C283">
        <v>46168.17657354167</v>
      </c>
      <c r="D283">
        <v>46168.594914317131</v>
      </c>
      <c r="E283" t="s">
        <v>75</v>
      </c>
      <c r="F283" t="s">
        <v>5</v>
      </c>
      <c r="G283" t="s">
        <v>94</v>
      </c>
      <c r="H283" t="s">
        <v>88</v>
      </c>
      <c r="I283" t="s">
        <v>89</v>
      </c>
      <c r="J283" t="s">
        <v>37</v>
      </c>
      <c r="K283" t="s">
        <v>68</v>
      </c>
      <c r="L283">
        <v>4</v>
      </c>
      <c r="M283">
        <f t="shared" si="20"/>
        <v>2.0588761112303473</v>
      </c>
      <c r="N283">
        <f t="shared" si="21"/>
        <v>12.09905472229002</v>
      </c>
      <c r="O283">
        <f>VLOOKUP(F283,SLA_Targets!$A$2:$C$5,2,FALSE)</f>
        <v>4</v>
      </c>
      <c r="P283">
        <f>VLOOKUP(F283,SLA_Targets!$A$2:$C$5,3,FALSE)</f>
        <v>24</v>
      </c>
      <c r="Q283" t="str">
        <f t="shared" si="22"/>
        <v>Met</v>
      </c>
      <c r="R283" t="str">
        <f t="shared" si="23"/>
        <v>Met</v>
      </c>
      <c r="S283" t="s">
        <v>38</v>
      </c>
      <c r="T283" t="s">
        <v>14</v>
      </c>
      <c r="U283">
        <v>1.2</v>
      </c>
      <c r="V283" t="s">
        <v>39</v>
      </c>
      <c r="W283">
        <f t="shared" si="24"/>
        <v>1</v>
      </c>
    </row>
    <row r="284" spans="1:23">
      <c r="A284" t="s">
        <v>371</v>
      </c>
      <c r="B284">
        <v>46186.956319444442</v>
      </c>
      <c r="C284">
        <v>46187.038733703703</v>
      </c>
      <c r="D284">
        <v>46187.434777974537</v>
      </c>
      <c r="E284" t="s">
        <v>75</v>
      </c>
      <c r="F284" t="s">
        <v>5</v>
      </c>
      <c r="G284" t="s">
        <v>98</v>
      </c>
      <c r="H284" t="s">
        <v>109</v>
      </c>
      <c r="I284" t="s">
        <v>92</v>
      </c>
      <c r="J284" t="s">
        <v>16</v>
      </c>
      <c r="K284" t="s">
        <v>68</v>
      </c>
      <c r="L284">
        <v>4</v>
      </c>
      <c r="M284">
        <f t="shared" si="20"/>
        <v>1.977942222263664</v>
      </c>
      <c r="N284">
        <f t="shared" si="21"/>
        <v>11.483004722278565</v>
      </c>
      <c r="O284">
        <f>VLOOKUP(F284,SLA_Targets!$A$2:$C$5,2,FALSE)</f>
        <v>4</v>
      </c>
      <c r="P284">
        <f>VLOOKUP(F284,SLA_Targets!$A$2:$C$5,3,FALSE)</f>
        <v>24</v>
      </c>
      <c r="Q284" t="str">
        <f t="shared" si="22"/>
        <v>Met</v>
      </c>
      <c r="R284" t="str">
        <f t="shared" si="23"/>
        <v>Met</v>
      </c>
      <c r="S284" t="s">
        <v>17</v>
      </c>
      <c r="T284" t="s">
        <v>14</v>
      </c>
      <c r="U284">
        <v>2.1</v>
      </c>
      <c r="V284" t="s">
        <v>18</v>
      </c>
      <c r="W284">
        <f t="shared" si="24"/>
        <v>1</v>
      </c>
    </row>
    <row r="285" spans="1:23">
      <c r="A285" t="s">
        <v>372</v>
      </c>
      <c r="B285">
        <v>46151.659953703704</v>
      </c>
      <c r="C285">
        <v>46151.718017534724</v>
      </c>
      <c r="D285">
        <v>46152.649522546293</v>
      </c>
      <c r="E285" t="s">
        <v>75</v>
      </c>
      <c r="F285" t="s">
        <v>5</v>
      </c>
      <c r="G285" t="s">
        <v>79</v>
      </c>
      <c r="H285" t="s">
        <v>72</v>
      </c>
      <c r="I285" t="s">
        <v>73</v>
      </c>
      <c r="J285" t="s">
        <v>37</v>
      </c>
      <c r="K285" t="s">
        <v>68</v>
      </c>
      <c r="L285">
        <v>5</v>
      </c>
      <c r="M285">
        <f t="shared" si="20"/>
        <v>1.3935319444863126</v>
      </c>
      <c r="N285">
        <f t="shared" si="21"/>
        <v>23.749652222148143</v>
      </c>
      <c r="O285">
        <f>VLOOKUP(F285,SLA_Targets!$A$2:$C$5,2,FALSE)</f>
        <v>4</v>
      </c>
      <c r="P285">
        <f>VLOOKUP(F285,SLA_Targets!$A$2:$C$5,3,FALSE)</f>
        <v>24</v>
      </c>
      <c r="Q285" t="str">
        <f t="shared" si="22"/>
        <v>Met</v>
      </c>
      <c r="R285" t="str">
        <f t="shared" si="23"/>
        <v>Met</v>
      </c>
      <c r="S285" t="s">
        <v>38</v>
      </c>
      <c r="T285" t="s">
        <v>14</v>
      </c>
      <c r="U285">
        <v>1.2</v>
      </c>
      <c r="V285" t="s">
        <v>39</v>
      </c>
      <c r="W285">
        <f t="shared" si="24"/>
        <v>1</v>
      </c>
    </row>
    <row r="286" spans="1:23">
      <c r="A286" t="s">
        <v>373</v>
      </c>
      <c r="B286">
        <v>46176.292256944442</v>
      </c>
      <c r="C286">
        <v>46176.363619768519</v>
      </c>
      <c r="D286">
        <v>46177.129510937499</v>
      </c>
      <c r="E286" t="s">
        <v>75</v>
      </c>
      <c r="F286" t="s">
        <v>5</v>
      </c>
      <c r="G286" t="s">
        <v>105</v>
      </c>
      <c r="H286" t="s">
        <v>66</v>
      </c>
      <c r="I286" t="s">
        <v>73</v>
      </c>
      <c r="J286" t="s">
        <v>34</v>
      </c>
      <c r="K286" t="s">
        <v>85</v>
      </c>
      <c r="L286">
        <v>5</v>
      </c>
      <c r="M286">
        <f t="shared" si="20"/>
        <v>1.7127077778568491</v>
      </c>
      <c r="N286">
        <f t="shared" si="21"/>
        <v>20.094095833366737</v>
      </c>
      <c r="O286">
        <f>VLOOKUP(F286,SLA_Targets!$A$2:$C$5,2,FALSE)</f>
        <v>4</v>
      </c>
      <c r="P286">
        <f>VLOOKUP(F286,SLA_Targets!$A$2:$C$5,3,FALSE)</f>
        <v>24</v>
      </c>
      <c r="Q286" t="str">
        <f t="shared" si="22"/>
        <v>Met</v>
      </c>
      <c r="R286" t="str">
        <f t="shared" si="23"/>
        <v>Met</v>
      </c>
      <c r="S286" t="s">
        <v>35</v>
      </c>
      <c r="T286" t="s">
        <v>33</v>
      </c>
      <c r="U286">
        <v>3</v>
      </c>
      <c r="V286" t="s">
        <v>36</v>
      </c>
      <c r="W286">
        <f t="shared" si="24"/>
        <v>1</v>
      </c>
    </row>
    <row r="287" spans="1:23">
      <c r="A287" t="s">
        <v>374</v>
      </c>
      <c r="B287">
        <v>46131.386076388888</v>
      </c>
      <c r="C287">
        <v>46131.410981342589</v>
      </c>
      <c r="D287">
        <v>46131.886593611111</v>
      </c>
      <c r="E287" t="s">
        <v>75</v>
      </c>
      <c r="F287" t="s">
        <v>4</v>
      </c>
      <c r="G287" t="s">
        <v>83</v>
      </c>
      <c r="H287" t="s">
        <v>77</v>
      </c>
      <c r="I287" t="s">
        <v>73</v>
      </c>
      <c r="J287" t="s">
        <v>31</v>
      </c>
      <c r="K287" t="s">
        <v>85</v>
      </c>
      <c r="L287">
        <v>3</v>
      </c>
      <c r="M287">
        <f t="shared" si="20"/>
        <v>0.59771888883551583</v>
      </c>
      <c r="N287">
        <f t="shared" si="21"/>
        <v>12.012413333344739</v>
      </c>
      <c r="O287">
        <f>VLOOKUP(F287,SLA_Targets!$A$2:$C$5,2,FALSE)</f>
        <v>1</v>
      </c>
      <c r="P287">
        <f>VLOOKUP(F287,SLA_Targets!$A$2:$C$5,3,FALSE)</f>
        <v>8</v>
      </c>
      <c r="Q287" t="str">
        <f t="shared" si="22"/>
        <v>Met</v>
      </c>
      <c r="R287" t="str">
        <f t="shared" si="23"/>
        <v>Breached</v>
      </c>
      <c r="S287" t="s">
        <v>32</v>
      </c>
      <c r="T287" t="s">
        <v>33</v>
      </c>
      <c r="U287">
        <v>7.1</v>
      </c>
      <c r="V287" t="s">
        <v>18</v>
      </c>
      <c r="W287">
        <f t="shared" si="24"/>
        <v>1</v>
      </c>
    </row>
    <row r="288" spans="1:23">
      <c r="A288" t="s">
        <v>375</v>
      </c>
      <c r="B288">
        <v>46121.12222222222</v>
      </c>
      <c r="C288">
        <v>46121.279851597224</v>
      </c>
      <c r="D288">
        <v>46122.456247881943</v>
      </c>
      <c r="E288" t="s">
        <v>75</v>
      </c>
      <c r="F288" t="s">
        <v>6</v>
      </c>
      <c r="G288" t="s">
        <v>98</v>
      </c>
      <c r="H288" t="s">
        <v>88</v>
      </c>
      <c r="I288" t="s">
        <v>73</v>
      </c>
      <c r="J288" t="s">
        <v>12</v>
      </c>
      <c r="K288" t="s">
        <v>68</v>
      </c>
      <c r="L288">
        <v>4</v>
      </c>
      <c r="M288">
        <f t="shared" si="20"/>
        <v>3.7831050000968389</v>
      </c>
      <c r="N288">
        <f t="shared" si="21"/>
        <v>32.016615833330434</v>
      </c>
      <c r="O288">
        <f>VLOOKUP(F288,SLA_Targets!$A$2:$C$5,2,FALSE)</f>
        <v>8</v>
      </c>
      <c r="P288">
        <f>VLOOKUP(F288,SLA_Targets!$A$2:$C$5,3,FALSE)</f>
        <v>48</v>
      </c>
      <c r="Q288" t="str">
        <f t="shared" si="22"/>
        <v>Met</v>
      </c>
      <c r="R288" t="str">
        <f t="shared" si="23"/>
        <v>Met</v>
      </c>
      <c r="S288" t="s">
        <v>13</v>
      </c>
      <c r="T288" t="s">
        <v>14</v>
      </c>
      <c r="U288">
        <v>4.2</v>
      </c>
      <c r="V288" t="s">
        <v>15</v>
      </c>
      <c r="W288">
        <f t="shared" si="24"/>
        <v>1</v>
      </c>
    </row>
    <row r="289" spans="1:23">
      <c r="A289" t="s">
        <v>376</v>
      </c>
      <c r="B289">
        <v>46116.586851851855</v>
      </c>
      <c r="C289">
        <v>46116.629503657408</v>
      </c>
      <c r="D289">
        <v>46117.839133437497</v>
      </c>
      <c r="E289" t="s">
        <v>75</v>
      </c>
      <c r="F289" t="s">
        <v>5</v>
      </c>
      <c r="G289" t="s">
        <v>79</v>
      </c>
      <c r="H289" t="s">
        <v>66</v>
      </c>
      <c r="I289" t="s">
        <v>73</v>
      </c>
      <c r="J289" t="s">
        <v>12</v>
      </c>
      <c r="K289" t="s">
        <v>68</v>
      </c>
      <c r="L289">
        <v>4</v>
      </c>
      <c r="M289">
        <f t="shared" si="20"/>
        <v>1.0236433332902379</v>
      </c>
      <c r="N289">
        <f t="shared" si="21"/>
        <v>30.054758055426646</v>
      </c>
      <c r="O289">
        <f>VLOOKUP(F289,SLA_Targets!$A$2:$C$5,2,FALSE)</f>
        <v>4</v>
      </c>
      <c r="P289">
        <f>VLOOKUP(F289,SLA_Targets!$A$2:$C$5,3,FALSE)</f>
        <v>24</v>
      </c>
      <c r="Q289" t="str">
        <f t="shared" si="22"/>
        <v>Met</v>
      </c>
      <c r="R289" t="str">
        <f t="shared" si="23"/>
        <v>Breached</v>
      </c>
      <c r="S289" t="s">
        <v>13</v>
      </c>
      <c r="T289" t="s">
        <v>14</v>
      </c>
      <c r="U289">
        <v>4.2</v>
      </c>
      <c r="V289" t="s">
        <v>15</v>
      </c>
      <c r="W289">
        <f t="shared" si="24"/>
        <v>1</v>
      </c>
    </row>
    <row r="290" spans="1:23">
      <c r="A290" t="s">
        <v>377</v>
      </c>
      <c r="B290">
        <v>46148.327280092592</v>
      </c>
      <c r="C290">
        <v>46148.463889733794</v>
      </c>
      <c r="D290">
        <v>46149.0647650463</v>
      </c>
      <c r="E290" t="s">
        <v>75</v>
      </c>
      <c r="F290" t="s">
        <v>6</v>
      </c>
      <c r="G290" t="s">
        <v>98</v>
      </c>
      <c r="H290" t="s">
        <v>80</v>
      </c>
      <c r="I290" t="s">
        <v>89</v>
      </c>
      <c r="J290" t="s">
        <v>12</v>
      </c>
      <c r="K290" t="s">
        <v>85</v>
      </c>
      <c r="L290">
        <v>4</v>
      </c>
      <c r="M290">
        <f t="shared" si="20"/>
        <v>3.2786313888500445</v>
      </c>
      <c r="N290">
        <f t="shared" si="21"/>
        <v>17.69963888899656</v>
      </c>
      <c r="O290">
        <f>VLOOKUP(F290,SLA_Targets!$A$2:$C$5,2,FALSE)</f>
        <v>8</v>
      </c>
      <c r="P290">
        <f>VLOOKUP(F290,SLA_Targets!$A$2:$C$5,3,FALSE)</f>
        <v>48</v>
      </c>
      <c r="Q290" t="str">
        <f t="shared" si="22"/>
        <v>Met</v>
      </c>
      <c r="R290" t="str">
        <f t="shared" si="23"/>
        <v>Met</v>
      </c>
      <c r="S290" t="s">
        <v>13</v>
      </c>
      <c r="T290" t="s">
        <v>14</v>
      </c>
      <c r="U290">
        <v>4.2</v>
      </c>
      <c r="V290" t="s">
        <v>15</v>
      </c>
      <c r="W290">
        <f t="shared" si="24"/>
        <v>1</v>
      </c>
    </row>
    <row r="291" spans="1:23">
      <c r="A291" t="s">
        <v>378</v>
      </c>
      <c r="B291">
        <v>46171.21980324074</v>
      </c>
      <c r="C291">
        <v>46171.486793275464</v>
      </c>
      <c r="D291">
        <v>46172.230005833335</v>
      </c>
      <c r="E291" t="s">
        <v>75</v>
      </c>
      <c r="F291" t="s">
        <v>5</v>
      </c>
      <c r="G291" t="s">
        <v>65</v>
      </c>
      <c r="H291" t="s">
        <v>84</v>
      </c>
      <c r="I291" t="s">
        <v>73</v>
      </c>
      <c r="J291" t="s">
        <v>19</v>
      </c>
      <c r="K291" t="s">
        <v>68</v>
      </c>
      <c r="L291">
        <v>3</v>
      </c>
      <c r="M291">
        <f t="shared" si="20"/>
        <v>6.4077608333900571</v>
      </c>
      <c r="N291">
        <f t="shared" si="21"/>
        <v>24.244862222287338</v>
      </c>
      <c r="O291">
        <f>VLOOKUP(F291,SLA_Targets!$A$2:$C$5,2,FALSE)</f>
        <v>4</v>
      </c>
      <c r="P291">
        <f>VLOOKUP(F291,SLA_Targets!$A$2:$C$5,3,FALSE)</f>
        <v>24</v>
      </c>
      <c r="Q291" t="str">
        <f t="shared" si="22"/>
        <v>Breached</v>
      </c>
      <c r="R291" t="str">
        <f t="shared" si="23"/>
        <v>Breached</v>
      </c>
      <c r="S291" t="s">
        <v>20</v>
      </c>
      <c r="T291" t="s">
        <v>21</v>
      </c>
      <c r="U291">
        <v>5.6</v>
      </c>
      <c r="V291" t="s">
        <v>22</v>
      </c>
      <c r="W291">
        <f t="shared" si="24"/>
        <v>1</v>
      </c>
    </row>
    <row r="292" spans="1:23">
      <c r="A292" t="s">
        <v>379</v>
      </c>
      <c r="B292">
        <v>46189.895092592589</v>
      </c>
      <c r="C292">
        <v>46190.020691967591</v>
      </c>
      <c r="D292">
        <v>46191.760963587963</v>
      </c>
      <c r="E292" t="s">
        <v>75</v>
      </c>
      <c r="F292" t="s">
        <v>5</v>
      </c>
      <c r="G292" t="s">
        <v>76</v>
      </c>
      <c r="H292" t="s">
        <v>66</v>
      </c>
      <c r="I292" t="s">
        <v>89</v>
      </c>
      <c r="J292" t="s">
        <v>28</v>
      </c>
      <c r="K292" t="s">
        <v>68</v>
      </c>
      <c r="L292">
        <v>4</v>
      </c>
      <c r="M292">
        <f t="shared" si="20"/>
        <v>3.014385000045877</v>
      </c>
      <c r="N292">
        <f t="shared" si="21"/>
        <v>44.780903888982721</v>
      </c>
      <c r="O292">
        <f>VLOOKUP(F292,SLA_Targets!$A$2:$C$5,2,FALSE)</f>
        <v>4</v>
      </c>
      <c r="P292">
        <f>VLOOKUP(F292,SLA_Targets!$A$2:$C$5,3,FALSE)</f>
        <v>24</v>
      </c>
      <c r="Q292" t="str">
        <f t="shared" si="22"/>
        <v>Met</v>
      </c>
      <c r="R292" t="str">
        <f t="shared" si="23"/>
        <v>Breached</v>
      </c>
      <c r="S292" t="s">
        <v>29</v>
      </c>
      <c r="T292" t="s">
        <v>27</v>
      </c>
      <c r="U292">
        <v>1.8</v>
      </c>
      <c r="V292" t="s">
        <v>30</v>
      </c>
      <c r="W292">
        <f t="shared" si="24"/>
        <v>1</v>
      </c>
    </row>
    <row r="293" spans="1:23">
      <c r="A293" t="s">
        <v>380</v>
      </c>
      <c r="B293">
        <v>46147.088217592594</v>
      </c>
      <c r="C293">
        <v>46147.204443287039</v>
      </c>
      <c r="D293">
        <v>46148.071438217594</v>
      </c>
      <c r="E293" t="s">
        <v>75</v>
      </c>
      <c r="F293" t="s">
        <v>5</v>
      </c>
      <c r="G293" t="s">
        <v>79</v>
      </c>
      <c r="H293" t="s">
        <v>84</v>
      </c>
      <c r="I293" t="s">
        <v>89</v>
      </c>
      <c r="J293" t="s">
        <v>37</v>
      </c>
      <c r="K293" t="s">
        <v>68</v>
      </c>
      <c r="L293">
        <v>5</v>
      </c>
      <c r="M293">
        <f t="shared" si="20"/>
        <v>2.7894166666665114</v>
      </c>
      <c r="N293">
        <f t="shared" si="21"/>
        <v>23.597294999985024</v>
      </c>
      <c r="O293">
        <f>VLOOKUP(F293,SLA_Targets!$A$2:$C$5,2,FALSE)</f>
        <v>4</v>
      </c>
      <c r="P293">
        <f>VLOOKUP(F293,SLA_Targets!$A$2:$C$5,3,FALSE)</f>
        <v>24</v>
      </c>
      <c r="Q293" t="str">
        <f t="shared" si="22"/>
        <v>Met</v>
      </c>
      <c r="R293" t="str">
        <f t="shared" si="23"/>
        <v>Met</v>
      </c>
      <c r="S293" t="s">
        <v>38</v>
      </c>
      <c r="T293" t="s">
        <v>14</v>
      </c>
      <c r="U293">
        <v>1.2</v>
      </c>
      <c r="V293" t="s">
        <v>39</v>
      </c>
      <c r="W293">
        <f t="shared" si="24"/>
        <v>1</v>
      </c>
    </row>
    <row r="294" spans="1:23">
      <c r="A294" t="s">
        <v>381</v>
      </c>
      <c r="B294">
        <v>46199.057557870372</v>
      </c>
      <c r="C294">
        <v>46199.143795127318</v>
      </c>
      <c r="D294">
        <v>46199.382587800923</v>
      </c>
      <c r="E294" t="s">
        <v>75</v>
      </c>
      <c r="F294" t="s">
        <v>5</v>
      </c>
      <c r="G294" t="s">
        <v>65</v>
      </c>
      <c r="H294" t="s">
        <v>66</v>
      </c>
      <c r="I294" t="s">
        <v>67</v>
      </c>
      <c r="J294" t="s">
        <v>42</v>
      </c>
      <c r="K294" t="s">
        <v>68</v>
      </c>
      <c r="L294">
        <v>4</v>
      </c>
      <c r="M294">
        <f t="shared" si="20"/>
        <v>2.0696941667119972</v>
      </c>
      <c r="N294">
        <f t="shared" si="21"/>
        <v>7.8007183332229033</v>
      </c>
      <c r="O294">
        <f>VLOOKUP(F294,SLA_Targets!$A$2:$C$5,2,FALSE)</f>
        <v>4</v>
      </c>
      <c r="P294">
        <f>VLOOKUP(F294,SLA_Targets!$A$2:$C$5,3,FALSE)</f>
        <v>24</v>
      </c>
      <c r="Q294" t="str">
        <f t="shared" si="22"/>
        <v>Met</v>
      </c>
      <c r="R294" t="str">
        <f t="shared" si="23"/>
        <v>Met</v>
      </c>
      <c r="S294" t="s">
        <v>43</v>
      </c>
      <c r="T294" t="s">
        <v>21</v>
      </c>
      <c r="U294">
        <v>2.7</v>
      </c>
      <c r="V294" t="s">
        <v>36</v>
      </c>
      <c r="W294">
        <f t="shared" si="24"/>
        <v>1</v>
      </c>
    </row>
    <row r="295" spans="1:23">
      <c r="A295" t="s">
        <v>382</v>
      </c>
      <c r="B295">
        <v>46124.058333333334</v>
      </c>
      <c r="C295">
        <v>46124.098687199075</v>
      </c>
      <c r="D295">
        <v>46124.226414074074</v>
      </c>
      <c r="E295" t="s">
        <v>75</v>
      </c>
      <c r="F295" t="s">
        <v>5</v>
      </c>
      <c r="G295" t="s">
        <v>65</v>
      </c>
      <c r="H295" t="s">
        <v>84</v>
      </c>
      <c r="I295" t="s">
        <v>67</v>
      </c>
      <c r="J295" t="s">
        <v>19</v>
      </c>
      <c r="K295" t="s">
        <v>68</v>
      </c>
      <c r="L295">
        <v>5</v>
      </c>
      <c r="M295">
        <f t="shared" si="20"/>
        <v>0.96849277778528631</v>
      </c>
      <c r="N295">
        <f t="shared" si="21"/>
        <v>4.0339377777418122</v>
      </c>
      <c r="O295">
        <f>VLOOKUP(F295,SLA_Targets!$A$2:$C$5,2,FALSE)</f>
        <v>4</v>
      </c>
      <c r="P295">
        <f>VLOOKUP(F295,SLA_Targets!$A$2:$C$5,3,FALSE)</f>
        <v>24</v>
      </c>
      <c r="Q295" t="str">
        <f t="shared" si="22"/>
        <v>Met</v>
      </c>
      <c r="R295" t="str">
        <f t="shared" si="23"/>
        <v>Met</v>
      </c>
      <c r="S295" t="s">
        <v>20</v>
      </c>
      <c r="T295" t="s">
        <v>21</v>
      </c>
      <c r="U295">
        <v>5.6</v>
      </c>
      <c r="V295" t="s">
        <v>22</v>
      </c>
      <c r="W295">
        <f t="shared" si="24"/>
        <v>1</v>
      </c>
    </row>
    <row r="296" spans="1:23">
      <c r="A296" t="s">
        <v>383</v>
      </c>
      <c r="B296">
        <v>46181.424166666664</v>
      </c>
      <c r="C296">
        <v>46181.432105347223</v>
      </c>
      <c r="D296">
        <v>46181.732864837963</v>
      </c>
      <c r="E296" t="s">
        <v>75</v>
      </c>
      <c r="F296" t="s">
        <v>3</v>
      </c>
      <c r="G296" t="s">
        <v>76</v>
      </c>
      <c r="H296" t="s">
        <v>80</v>
      </c>
      <c r="I296" t="s">
        <v>92</v>
      </c>
      <c r="J296" t="s">
        <v>25</v>
      </c>
      <c r="K296" t="s">
        <v>68</v>
      </c>
      <c r="L296">
        <v>4</v>
      </c>
      <c r="M296">
        <f t="shared" si="20"/>
        <v>0.19052833341993392</v>
      </c>
      <c r="N296">
        <f t="shared" si="21"/>
        <v>7.40875611116644</v>
      </c>
      <c r="O296">
        <f>VLOOKUP(F296,SLA_Targets!$A$2:$C$5,2,FALSE)</f>
        <v>0.5</v>
      </c>
      <c r="P296">
        <f>VLOOKUP(F296,SLA_Targets!$A$2:$C$5,3,FALSE)</f>
        <v>4</v>
      </c>
      <c r="Q296" t="str">
        <f t="shared" si="22"/>
        <v>Met</v>
      </c>
      <c r="R296" t="str">
        <f t="shared" si="23"/>
        <v>Breached</v>
      </c>
      <c r="S296" t="s">
        <v>26</v>
      </c>
      <c r="T296" t="s">
        <v>27</v>
      </c>
      <c r="U296">
        <v>6.3</v>
      </c>
      <c r="V296" t="s">
        <v>15</v>
      </c>
      <c r="W296">
        <f t="shared" si="24"/>
        <v>1</v>
      </c>
    </row>
    <row r="297" spans="1:23">
      <c r="A297" t="s">
        <v>384</v>
      </c>
      <c r="B297">
        <v>46117.280358796299</v>
      </c>
      <c r="C297">
        <v>46117.430714756942</v>
      </c>
      <c r="D297">
        <v>46117.621150787039</v>
      </c>
      <c r="E297" t="s">
        <v>75</v>
      </c>
      <c r="F297" t="s">
        <v>5</v>
      </c>
      <c r="G297" t="s">
        <v>105</v>
      </c>
      <c r="H297" t="s">
        <v>66</v>
      </c>
      <c r="I297" t="s">
        <v>73</v>
      </c>
      <c r="J297" t="s">
        <v>31</v>
      </c>
      <c r="K297" t="s">
        <v>68</v>
      </c>
      <c r="L297">
        <v>4</v>
      </c>
      <c r="M297">
        <f t="shared" si="20"/>
        <v>3.6085430554230697</v>
      </c>
      <c r="N297">
        <f t="shared" si="21"/>
        <v>8.1790077777695842</v>
      </c>
      <c r="O297">
        <f>VLOOKUP(F297,SLA_Targets!$A$2:$C$5,2,FALSE)</f>
        <v>4</v>
      </c>
      <c r="P297">
        <f>VLOOKUP(F297,SLA_Targets!$A$2:$C$5,3,FALSE)</f>
        <v>24</v>
      </c>
      <c r="Q297" t="str">
        <f t="shared" si="22"/>
        <v>Met</v>
      </c>
      <c r="R297" t="str">
        <f t="shared" si="23"/>
        <v>Met</v>
      </c>
      <c r="S297" t="s">
        <v>32</v>
      </c>
      <c r="T297" t="s">
        <v>33</v>
      </c>
      <c r="U297">
        <v>7.1</v>
      </c>
      <c r="V297" t="s">
        <v>18</v>
      </c>
      <c r="W297">
        <f t="shared" si="24"/>
        <v>1</v>
      </c>
    </row>
    <row r="298" spans="1:23">
      <c r="A298" t="s">
        <v>385</v>
      </c>
      <c r="B298">
        <v>46186.072881944441</v>
      </c>
      <c r="C298">
        <v>46186.472118113423</v>
      </c>
      <c r="D298">
        <v>46186.605242442129</v>
      </c>
      <c r="E298" t="s">
        <v>75</v>
      </c>
      <c r="F298" t="s">
        <v>5</v>
      </c>
      <c r="G298" t="s">
        <v>71</v>
      </c>
      <c r="H298" t="s">
        <v>106</v>
      </c>
      <c r="I298" t="s">
        <v>73</v>
      </c>
      <c r="J298" t="s">
        <v>40</v>
      </c>
      <c r="K298" t="s">
        <v>85</v>
      </c>
      <c r="L298">
        <v>4</v>
      </c>
      <c r="M298">
        <f t="shared" si="20"/>
        <v>9.5816680555581115</v>
      </c>
      <c r="N298">
        <f t="shared" si="21"/>
        <v>12.776651944499463</v>
      </c>
      <c r="O298">
        <f>VLOOKUP(F298,SLA_Targets!$A$2:$C$5,2,FALSE)</f>
        <v>4</v>
      </c>
      <c r="P298">
        <f>VLOOKUP(F298,SLA_Targets!$A$2:$C$5,3,FALSE)</f>
        <v>24</v>
      </c>
      <c r="Q298" t="str">
        <f t="shared" si="22"/>
        <v>Breached</v>
      </c>
      <c r="R298" t="str">
        <f t="shared" si="23"/>
        <v>Met</v>
      </c>
      <c r="S298" t="s">
        <v>41</v>
      </c>
      <c r="T298" t="s">
        <v>27</v>
      </c>
      <c r="U298">
        <v>4.8</v>
      </c>
      <c r="V298" t="s">
        <v>39</v>
      </c>
      <c r="W298">
        <f t="shared" si="24"/>
        <v>1</v>
      </c>
    </row>
    <row r="299" spans="1:23">
      <c r="A299" t="s">
        <v>386</v>
      </c>
      <c r="B299">
        <v>46147.540601851855</v>
      </c>
      <c r="C299">
        <v>46147.574934155091</v>
      </c>
      <c r="D299">
        <v>46147.960565983798</v>
      </c>
      <c r="E299" t="s">
        <v>70</v>
      </c>
      <c r="F299" t="s">
        <v>4</v>
      </c>
      <c r="G299" t="s">
        <v>83</v>
      </c>
      <c r="H299" t="s">
        <v>106</v>
      </c>
      <c r="I299" t="s">
        <v>67</v>
      </c>
      <c r="J299" t="s">
        <v>34</v>
      </c>
      <c r="K299" t="s">
        <v>68</v>
      </c>
      <c r="L299">
        <v>4</v>
      </c>
      <c r="M299">
        <f t="shared" si="20"/>
        <v>0.82397527765715495</v>
      </c>
      <c r="N299">
        <f t="shared" si="21"/>
        <v>10.079139166628011</v>
      </c>
      <c r="O299">
        <f>VLOOKUP(F299,SLA_Targets!$A$2:$C$5,2,FALSE)</f>
        <v>1</v>
      </c>
      <c r="P299">
        <f>VLOOKUP(F299,SLA_Targets!$A$2:$C$5,3,FALSE)</f>
        <v>8</v>
      </c>
      <c r="Q299" t="str">
        <f t="shared" si="22"/>
        <v>Met</v>
      </c>
      <c r="R299" t="str">
        <f t="shared" si="23"/>
        <v>Breached</v>
      </c>
      <c r="S299" t="s">
        <v>35</v>
      </c>
      <c r="T299" t="s">
        <v>33</v>
      </c>
      <c r="U299">
        <v>3</v>
      </c>
      <c r="V299" t="s">
        <v>36</v>
      </c>
      <c r="W299">
        <f t="shared" si="24"/>
        <v>1</v>
      </c>
    </row>
    <row r="300" spans="1:23">
      <c r="A300" t="s">
        <v>387</v>
      </c>
      <c r="B300">
        <v>46138.002939814818</v>
      </c>
      <c r="C300">
        <v>46138.121640844911</v>
      </c>
      <c r="D300">
        <v>46138.497468298614</v>
      </c>
      <c r="E300" t="s">
        <v>75</v>
      </c>
      <c r="F300" t="s">
        <v>5</v>
      </c>
      <c r="G300" t="s">
        <v>94</v>
      </c>
      <c r="H300" t="s">
        <v>109</v>
      </c>
      <c r="I300" t="s">
        <v>92</v>
      </c>
      <c r="J300" t="s">
        <v>16</v>
      </c>
      <c r="K300" t="s">
        <v>68</v>
      </c>
      <c r="L300">
        <v>4</v>
      </c>
      <c r="M300">
        <f t="shared" si="20"/>
        <v>2.8488247222267091</v>
      </c>
      <c r="N300">
        <f t="shared" si="21"/>
        <v>11.868683611101005</v>
      </c>
      <c r="O300">
        <f>VLOOKUP(F300,SLA_Targets!$A$2:$C$5,2,FALSE)</f>
        <v>4</v>
      </c>
      <c r="P300">
        <f>VLOOKUP(F300,SLA_Targets!$A$2:$C$5,3,FALSE)</f>
        <v>24</v>
      </c>
      <c r="Q300" t="str">
        <f t="shared" si="22"/>
        <v>Met</v>
      </c>
      <c r="R300" t="str">
        <f t="shared" si="23"/>
        <v>Met</v>
      </c>
      <c r="S300" t="s">
        <v>17</v>
      </c>
      <c r="T300" t="s">
        <v>14</v>
      </c>
      <c r="U300">
        <v>2.1</v>
      </c>
      <c r="V300" t="s">
        <v>18</v>
      </c>
      <c r="W300">
        <f t="shared" si="24"/>
        <v>1</v>
      </c>
    </row>
    <row r="301" spans="1:23">
      <c r="A301" t="s">
        <v>388</v>
      </c>
      <c r="B301">
        <v>46167.088692129626</v>
      </c>
      <c r="C301">
        <v>46167.217184988425</v>
      </c>
      <c r="D301">
        <v>46167.77153690972</v>
      </c>
      <c r="E301" t="s">
        <v>70</v>
      </c>
      <c r="F301" t="s">
        <v>5</v>
      </c>
      <c r="G301" t="s">
        <v>71</v>
      </c>
      <c r="H301" t="s">
        <v>84</v>
      </c>
      <c r="I301" t="s">
        <v>73</v>
      </c>
      <c r="J301" t="s">
        <v>40</v>
      </c>
      <c r="K301" t="s">
        <v>68</v>
      </c>
      <c r="L301">
        <v>4</v>
      </c>
      <c r="M301">
        <f t="shared" si="20"/>
        <v>3.0838286111829802</v>
      </c>
      <c r="N301">
        <f t="shared" si="21"/>
        <v>16.388274722266942</v>
      </c>
      <c r="O301">
        <f>VLOOKUP(F301,SLA_Targets!$A$2:$C$5,2,FALSE)</f>
        <v>4</v>
      </c>
      <c r="P301">
        <f>VLOOKUP(F301,SLA_Targets!$A$2:$C$5,3,FALSE)</f>
        <v>24</v>
      </c>
      <c r="Q301" t="str">
        <f t="shared" si="22"/>
        <v>Met</v>
      </c>
      <c r="R301" t="str">
        <f t="shared" si="23"/>
        <v>Met</v>
      </c>
      <c r="S301" t="s">
        <v>41</v>
      </c>
      <c r="T301" t="s">
        <v>27</v>
      </c>
      <c r="U301">
        <v>4.8</v>
      </c>
      <c r="V301" t="s">
        <v>39</v>
      </c>
      <c r="W301">
        <f t="shared" si="24"/>
        <v>1</v>
      </c>
    </row>
    <row r="302" spans="1:23">
      <c r="A302" t="s">
        <v>389</v>
      </c>
      <c r="B302">
        <v>46152.149884259263</v>
      </c>
      <c r="C302">
        <v>46152.227739571761</v>
      </c>
      <c r="D302">
        <v>46152.711685138886</v>
      </c>
      <c r="E302" t="s">
        <v>75</v>
      </c>
      <c r="F302" t="s">
        <v>4</v>
      </c>
      <c r="G302" t="s">
        <v>71</v>
      </c>
      <c r="H302" t="s">
        <v>106</v>
      </c>
      <c r="I302" t="s">
        <v>73</v>
      </c>
      <c r="J302" t="s">
        <v>25</v>
      </c>
      <c r="K302" t="s">
        <v>68</v>
      </c>
      <c r="L302">
        <v>4</v>
      </c>
      <c r="M302">
        <f t="shared" si="20"/>
        <v>1.8685274999588728</v>
      </c>
      <c r="N302">
        <f t="shared" si="21"/>
        <v>13.483221110946033</v>
      </c>
      <c r="O302">
        <f>VLOOKUP(F302,SLA_Targets!$A$2:$C$5,2,FALSE)</f>
        <v>1</v>
      </c>
      <c r="P302">
        <f>VLOOKUP(F302,SLA_Targets!$A$2:$C$5,3,FALSE)</f>
        <v>8</v>
      </c>
      <c r="Q302" t="str">
        <f t="shared" si="22"/>
        <v>Breached</v>
      </c>
      <c r="R302" t="str">
        <f t="shared" si="23"/>
        <v>Breached</v>
      </c>
      <c r="S302" t="s">
        <v>26</v>
      </c>
      <c r="T302" t="s">
        <v>27</v>
      </c>
      <c r="U302">
        <v>6.3</v>
      </c>
      <c r="V302" t="s">
        <v>15</v>
      </c>
      <c r="W302">
        <f t="shared" si="24"/>
        <v>1</v>
      </c>
    </row>
    <row r="303" spans="1:23">
      <c r="A303" t="s">
        <v>390</v>
      </c>
      <c r="B303">
        <v>46118.762881944444</v>
      </c>
      <c r="C303">
        <v>46118.788983634258</v>
      </c>
      <c r="D303">
        <v>46119.195203530093</v>
      </c>
      <c r="E303" t="s">
        <v>75</v>
      </c>
      <c r="F303" t="s">
        <v>4</v>
      </c>
      <c r="G303" t="s">
        <v>83</v>
      </c>
      <c r="H303" t="s">
        <v>72</v>
      </c>
      <c r="I303" t="s">
        <v>67</v>
      </c>
      <c r="J303" t="s">
        <v>34</v>
      </c>
      <c r="K303" t="s">
        <v>68</v>
      </c>
      <c r="L303">
        <v>4</v>
      </c>
      <c r="M303">
        <f t="shared" si="20"/>
        <v>0.62644055555574596</v>
      </c>
      <c r="N303">
        <f t="shared" si="21"/>
        <v>10.375718055584002</v>
      </c>
      <c r="O303">
        <f>VLOOKUP(F303,SLA_Targets!$A$2:$C$5,2,FALSE)</f>
        <v>1</v>
      </c>
      <c r="P303">
        <f>VLOOKUP(F303,SLA_Targets!$A$2:$C$5,3,FALSE)</f>
        <v>8</v>
      </c>
      <c r="Q303" t="str">
        <f t="shared" si="22"/>
        <v>Met</v>
      </c>
      <c r="R303" t="str">
        <f t="shared" si="23"/>
        <v>Breached</v>
      </c>
      <c r="S303" t="s">
        <v>35</v>
      </c>
      <c r="T303" t="s">
        <v>33</v>
      </c>
      <c r="U303">
        <v>3</v>
      </c>
      <c r="V303" t="s">
        <v>36</v>
      </c>
      <c r="W303">
        <f t="shared" si="24"/>
        <v>1</v>
      </c>
    </row>
    <row r="304" spans="1:23">
      <c r="A304" t="s">
        <v>391</v>
      </c>
      <c r="B304">
        <v>46117.331724537034</v>
      </c>
      <c r="C304">
        <v>46117.515721284719</v>
      </c>
      <c r="D304">
        <v>46118.071732604163</v>
      </c>
      <c r="E304" t="s">
        <v>75</v>
      </c>
      <c r="F304" t="s">
        <v>5</v>
      </c>
      <c r="G304" t="s">
        <v>79</v>
      </c>
      <c r="H304" t="s">
        <v>66</v>
      </c>
      <c r="I304" t="s">
        <v>73</v>
      </c>
      <c r="J304" t="s">
        <v>16</v>
      </c>
      <c r="K304" t="s">
        <v>68</v>
      </c>
      <c r="L304">
        <v>3</v>
      </c>
      <c r="M304">
        <f t="shared" si="20"/>
        <v>4.4159219444263726</v>
      </c>
      <c r="N304">
        <f t="shared" si="21"/>
        <v>17.760193611087743</v>
      </c>
      <c r="O304">
        <f>VLOOKUP(F304,SLA_Targets!$A$2:$C$5,2,FALSE)</f>
        <v>4</v>
      </c>
      <c r="P304">
        <f>VLOOKUP(F304,SLA_Targets!$A$2:$C$5,3,FALSE)</f>
        <v>24</v>
      </c>
      <c r="Q304" t="str">
        <f t="shared" si="22"/>
        <v>Breached</v>
      </c>
      <c r="R304" t="str">
        <f t="shared" si="23"/>
        <v>Met</v>
      </c>
      <c r="S304" t="s">
        <v>17</v>
      </c>
      <c r="T304" t="s">
        <v>14</v>
      </c>
      <c r="U304">
        <v>2.1</v>
      </c>
      <c r="V304" t="s">
        <v>18</v>
      </c>
      <c r="W304">
        <f t="shared" si="24"/>
        <v>1</v>
      </c>
    </row>
    <row r="305" spans="1:23">
      <c r="A305" t="s">
        <v>392</v>
      </c>
      <c r="B305">
        <v>46121.347662037035</v>
      </c>
      <c r="C305">
        <v>46121.47349449074</v>
      </c>
      <c r="D305">
        <v>46121.869715185188</v>
      </c>
      <c r="E305" t="s">
        <v>75</v>
      </c>
      <c r="F305" t="s">
        <v>5</v>
      </c>
      <c r="G305" t="s">
        <v>71</v>
      </c>
      <c r="H305" t="s">
        <v>72</v>
      </c>
      <c r="I305" t="s">
        <v>73</v>
      </c>
      <c r="J305" t="s">
        <v>40</v>
      </c>
      <c r="K305" t="s">
        <v>68</v>
      </c>
      <c r="L305">
        <v>5</v>
      </c>
      <c r="M305">
        <f t="shared" si="20"/>
        <v>3.0199788889149204</v>
      </c>
      <c r="N305">
        <f t="shared" si="21"/>
        <v>12.529275555687491</v>
      </c>
      <c r="O305">
        <f>VLOOKUP(F305,SLA_Targets!$A$2:$C$5,2,FALSE)</f>
        <v>4</v>
      </c>
      <c r="P305">
        <f>VLOOKUP(F305,SLA_Targets!$A$2:$C$5,3,FALSE)</f>
        <v>24</v>
      </c>
      <c r="Q305" t="str">
        <f t="shared" si="22"/>
        <v>Met</v>
      </c>
      <c r="R305" t="str">
        <f t="shared" si="23"/>
        <v>Met</v>
      </c>
      <c r="S305" t="s">
        <v>41</v>
      </c>
      <c r="T305" t="s">
        <v>27</v>
      </c>
      <c r="U305">
        <v>4.8</v>
      </c>
      <c r="V305" t="s">
        <v>39</v>
      </c>
      <c r="W305">
        <f t="shared" si="24"/>
        <v>1</v>
      </c>
    </row>
    <row r="306" spans="1:23">
      <c r="A306" t="s">
        <v>393</v>
      </c>
      <c r="B306">
        <v>46132.372685185182</v>
      </c>
      <c r="C306">
        <v>46132.820270868055</v>
      </c>
      <c r="D306">
        <v>46134.81492459491</v>
      </c>
      <c r="E306" t="s">
        <v>75</v>
      </c>
      <c r="F306" t="s">
        <v>6</v>
      </c>
      <c r="G306" t="s">
        <v>71</v>
      </c>
      <c r="H306" t="s">
        <v>66</v>
      </c>
      <c r="I306" t="s">
        <v>73</v>
      </c>
      <c r="J306" t="s">
        <v>40</v>
      </c>
      <c r="K306" t="s">
        <v>68</v>
      </c>
      <c r="L306">
        <v>4</v>
      </c>
      <c r="M306">
        <f t="shared" si="20"/>
        <v>10.742056388931815</v>
      </c>
      <c r="N306">
        <f t="shared" si="21"/>
        <v>58.613745833456051</v>
      </c>
      <c r="O306">
        <f>VLOOKUP(F306,SLA_Targets!$A$2:$C$5,2,FALSE)</f>
        <v>8</v>
      </c>
      <c r="P306">
        <f>VLOOKUP(F306,SLA_Targets!$A$2:$C$5,3,FALSE)</f>
        <v>48</v>
      </c>
      <c r="Q306" t="str">
        <f t="shared" si="22"/>
        <v>Breached</v>
      </c>
      <c r="R306" t="str">
        <f t="shared" si="23"/>
        <v>Breached</v>
      </c>
      <c r="S306" t="s">
        <v>41</v>
      </c>
      <c r="T306" t="s">
        <v>27</v>
      </c>
      <c r="U306">
        <v>4.8</v>
      </c>
      <c r="V306" t="s">
        <v>39</v>
      </c>
      <c r="W306">
        <f t="shared" si="24"/>
        <v>1</v>
      </c>
    </row>
    <row r="307" spans="1:23">
      <c r="A307" t="s">
        <v>394</v>
      </c>
      <c r="B307">
        <v>46147.287418981483</v>
      </c>
      <c r="C307">
        <v>46147.719510057868</v>
      </c>
      <c r="D307">
        <v>46148.386666805556</v>
      </c>
      <c r="E307" t="s">
        <v>75</v>
      </c>
      <c r="F307" t="s">
        <v>6</v>
      </c>
      <c r="G307" t="s">
        <v>76</v>
      </c>
      <c r="H307" t="s">
        <v>84</v>
      </c>
      <c r="I307" t="s">
        <v>73</v>
      </c>
      <c r="J307" t="s">
        <v>28</v>
      </c>
      <c r="K307" t="s">
        <v>85</v>
      </c>
      <c r="L307">
        <v>3</v>
      </c>
      <c r="M307">
        <f t="shared" si="20"/>
        <v>10.370185833249707</v>
      </c>
      <c r="N307">
        <f t="shared" si="21"/>
        <v>26.381947777757887</v>
      </c>
      <c r="O307">
        <f>VLOOKUP(F307,SLA_Targets!$A$2:$C$5,2,FALSE)</f>
        <v>8</v>
      </c>
      <c r="P307">
        <f>VLOOKUP(F307,SLA_Targets!$A$2:$C$5,3,FALSE)</f>
        <v>48</v>
      </c>
      <c r="Q307" t="str">
        <f t="shared" si="22"/>
        <v>Breached</v>
      </c>
      <c r="R307" t="str">
        <f t="shared" si="23"/>
        <v>Met</v>
      </c>
      <c r="S307" t="s">
        <v>29</v>
      </c>
      <c r="T307" t="s">
        <v>27</v>
      </c>
      <c r="U307">
        <v>1.8</v>
      </c>
      <c r="V307" t="s">
        <v>30</v>
      </c>
      <c r="W307">
        <f t="shared" si="24"/>
        <v>1</v>
      </c>
    </row>
    <row r="308" spans="1:23">
      <c r="A308" t="s">
        <v>395</v>
      </c>
      <c r="B308">
        <v>46173.626689814817</v>
      </c>
      <c r="C308">
        <v>46173.707708402777</v>
      </c>
      <c r="D308">
        <v>46174.574689155095</v>
      </c>
      <c r="E308" t="s">
        <v>75</v>
      </c>
      <c r="F308" t="s">
        <v>5</v>
      </c>
      <c r="G308" t="s">
        <v>83</v>
      </c>
      <c r="H308" t="s">
        <v>109</v>
      </c>
      <c r="I308" t="s">
        <v>89</v>
      </c>
      <c r="J308" t="s">
        <v>34</v>
      </c>
      <c r="K308" t="s">
        <v>68</v>
      </c>
      <c r="L308">
        <v>5</v>
      </c>
      <c r="M308">
        <f t="shared" si="20"/>
        <v>1.9444461110397242</v>
      </c>
      <c r="N308">
        <f t="shared" si="21"/>
        <v>22.751984166679904</v>
      </c>
      <c r="O308">
        <f>VLOOKUP(F308,SLA_Targets!$A$2:$C$5,2,FALSE)</f>
        <v>4</v>
      </c>
      <c r="P308">
        <f>VLOOKUP(F308,SLA_Targets!$A$2:$C$5,3,FALSE)</f>
        <v>24</v>
      </c>
      <c r="Q308" t="str">
        <f t="shared" si="22"/>
        <v>Met</v>
      </c>
      <c r="R308" t="str">
        <f t="shared" si="23"/>
        <v>Met</v>
      </c>
      <c r="S308" t="s">
        <v>35</v>
      </c>
      <c r="T308" t="s">
        <v>33</v>
      </c>
      <c r="U308">
        <v>3</v>
      </c>
      <c r="V308" t="s">
        <v>36</v>
      </c>
      <c r="W308">
        <f t="shared" si="24"/>
        <v>1</v>
      </c>
    </row>
    <row r="309" spans="1:23">
      <c r="A309" t="s">
        <v>396</v>
      </c>
      <c r="B309">
        <v>46181.175729166665</v>
      </c>
      <c r="C309">
        <v>46181.234097835651</v>
      </c>
      <c r="D309">
        <v>46182.129642106484</v>
      </c>
      <c r="E309" t="s">
        <v>75</v>
      </c>
      <c r="F309" t="s">
        <v>5</v>
      </c>
      <c r="G309" t="s">
        <v>76</v>
      </c>
      <c r="H309" t="s">
        <v>109</v>
      </c>
      <c r="I309" t="s">
        <v>73</v>
      </c>
      <c r="J309" t="s">
        <v>40</v>
      </c>
      <c r="K309" t="s">
        <v>68</v>
      </c>
      <c r="L309">
        <v>4</v>
      </c>
      <c r="M309">
        <f t="shared" si="20"/>
        <v>1.4008480556658469</v>
      </c>
      <c r="N309">
        <f t="shared" si="21"/>
        <v>22.893910555634648</v>
      </c>
      <c r="O309">
        <f>VLOOKUP(F309,SLA_Targets!$A$2:$C$5,2,FALSE)</f>
        <v>4</v>
      </c>
      <c r="P309">
        <f>VLOOKUP(F309,SLA_Targets!$A$2:$C$5,3,FALSE)</f>
        <v>24</v>
      </c>
      <c r="Q309" t="str">
        <f t="shared" si="22"/>
        <v>Met</v>
      </c>
      <c r="R309" t="str">
        <f t="shared" si="23"/>
        <v>Met</v>
      </c>
      <c r="S309" t="s">
        <v>41</v>
      </c>
      <c r="T309" t="s">
        <v>27</v>
      </c>
      <c r="U309">
        <v>4.8</v>
      </c>
      <c r="V309" t="s">
        <v>39</v>
      </c>
      <c r="W309">
        <f t="shared" si="24"/>
        <v>1</v>
      </c>
    </row>
    <row r="310" spans="1:23">
      <c r="A310" t="s">
        <v>397</v>
      </c>
      <c r="B310">
        <v>46139.674953703703</v>
      </c>
      <c r="C310">
        <v>46140.289823530089</v>
      </c>
      <c r="D310">
        <v>46145.00151008102</v>
      </c>
      <c r="E310" t="s">
        <v>70</v>
      </c>
      <c r="F310" t="s">
        <v>6</v>
      </c>
      <c r="G310" t="s">
        <v>76</v>
      </c>
      <c r="H310" t="s">
        <v>80</v>
      </c>
      <c r="I310" t="s">
        <v>73</v>
      </c>
      <c r="J310" t="s">
        <v>28</v>
      </c>
      <c r="K310" t="s">
        <v>68</v>
      </c>
      <c r="L310">
        <v>4</v>
      </c>
      <c r="M310">
        <f t="shared" si="20"/>
        <v>14.756875833263621</v>
      </c>
      <c r="N310">
        <f t="shared" si="21"/>
        <v>127.83735305559821</v>
      </c>
      <c r="O310">
        <f>VLOOKUP(F310,SLA_Targets!$A$2:$C$5,2,FALSE)</f>
        <v>8</v>
      </c>
      <c r="P310">
        <f>VLOOKUP(F310,SLA_Targets!$A$2:$C$5,3,FALSE)</f>
        <v>48</v>
      </c>
      <c r="Q310" t="str">
        <f t="shared" si="22"/>
        <v>Breached</v>
      </c>
      <c r="R310" t="str">
        <f t="shared" si="23"/>
        <v>Breached</v>
      </c>
      <c r="S310" t="s">
        <v>29</v>
      </c>
      <c r="T310" t="s">
        <v>27</v>
      </c>
      <c r="U310">
        <v>1.8</v>
      </c>
      <c r="V310" t="s">
        <v>30</v>
      </c>
      <c r="W310">
        <f t="shared" si="24"/>
        <v>1</v>
      </c>
    </row>
    <row r="311" spans="1:23">
      <c r="A311" t="s">
        <v>398</v>
      </c>
      <c r="B311">
        <v>46132.642199074071</v>
      </c>
      <c r="C311">
        <v>46132.795158738423</v>
      </c>
      <c r="D311">
        <v>46133.46038945602</v>
      </c>
      <c r="E311" t="s">
        <v>75</v>
      </c>
      <c r="F311" t="s">
        <v>5</v>
      </c>
      <c r="G311" t="s">
        <v>71</v>
      </c>
      <c r="H311" t="s">
        <v>109</v>
      </c>
      <c r="I311" t="s">
        <v>73</v>
      </c>
      <c r="J311" t="s">
        <v>40</v>
      </c>
      <c r="K311" t="s">
        <v>68</v>
      </c>
      <c r="L311">
        <v>4</v>
      </c>
      <c r="M311">
        <f t="shared" si="20"/>
        <v>3.6710319444537163</v>
      </c>
      <c r="N311">
        <f t="shared" si="21"/>
        <v>19.636569166788831</v>
      </c>
      <c r="O311">
        <f>VLOOKUP(F311,SLA_Targets!$A$2:$C$5,2,FALSE)</f>
        <v>4</v>
      </c>
      <c r="P311">
        <f>VLOOKUP(F311,SLA_Targets!$A$2:$C$5,3,FALSE)</f>
        <v>24</v>
      </c>
      <c r="Q311" t="str">
        <f t="shared" si="22"/>
        <v>Met</v>
      </c>
      <c r="R311" t="str">
        <f t="shared" si="23"/>
        <v>Met</v>
      </c>
      <c r="S311" t="s">
        <v>41</v>
      </c>
      <c r="T311" t="s">
        <v>27</v>
      </c>
      <c r="U311">
        <v>4.8</v>
      </c>
      <c r="V311" t="s">
        <v>39</v>
      </c>
      <c r="W311">
        <f t="shared" si="24"/>
        <v>1</v>
      </c>
    </row>
    <row r="312" spans="1:23">
      <c r="A312" t="s">
        <v>399</v>
      </c>
      <c r="B312">
        <v>46136.266539351855</v>
      </c>
      <c r="C312">
        <v>46136.520341111114</v>
      </c>
      <c r="D312">
        <v>46141.670099467592</v>
      </c>
      <c r="E312" t="s">
        <v>75</v>
      </c>
      <c r="F312" t="s">
        <v>6</v>
      </c>
      <c r="G312" t="s">
        <v>83</v>
      </c>
      <c r="H312" t="s">
        <v>109</v>
      </c>
      <c r="I312" t="s">
        <v>67</v>
      </c>
      <c r="J312" t="s">
        <v>34</v>
      </c>
      <c r="K312" t="s">
        <v>68</v>
      </c>
      <c r="L312">
        <v>3</v>
      </c>
      <c r="M312">
        <f t="shared" si="20"/>
        <v>6.0912422222318128</v>
      </c>
      <c r="N312">
        <f t="shared" si="21"/>
        <v>129.68544277769979</v>
      </c>
      <c r="O312">
        <f>VLOOKUP(F312,SLA_Targets!$A$2:$C$5,2,FALSE)</f>
        <v>8</v>
      </c>
      <c r="P312">
        <f>VLOOKUP(F312,SLA_Targets!$A$2:$C$5,3,FALSE)</f>
        <v>48</v>
      </c>
      <c r="Q312" t="str">
        <f t="shared" si="22"/>
        <v>Met</v>
      </c>
      <c r="R312" t="str">
        <f t="shared" si="23"/>
        <v>Breached</v>
      </c>
      <c r="S312" t="s">
        <v>35</v>
      </c>
      <c r="T312" t="s">
        <v>33</v>
      </c>
      <c r="U312">
        <v>3</v>
      </c>
      <c r="V312" t="s">
        <v>36</v>
      </c>
      <c r="W312">
        <f t="shared" si="24"/>
        <v>1</v>
      </c>
    </row>
    <row r="313" spans="1:23">
      <c r="A313" t="s">
        <v>400</v>
      </c>
      <c r="B313">
        <v>46135.414398148147</v>
      </c>
      <c r="C313">
        <v>46135.456522916669</v>
      </c>
      <c r="D313">
        <v>46136.21687704861</v>
      </c>
      <c r="E313" t="s">
        <v>75</v>
      </c>
      <c r="F313" t="s">
        <v>5</v>
      </c>
      <c r="G313" t="s">
        <v>94</v>
      </c>
      <c r="H313" t="s">
        <v>88</v>
      </c>
      <c r="I313" t="s">
        <v>73</v>
      </c>
      <c r="J313" t="s">
        <v>16</v>
      </c>
      <c r="K313" t="s">
        <v>68</v>
      </c>
      <c r="L313">
        <v>4</v>
      </c>
      <c r="M313">
        <f t="shared" si="20"/>
        <v>1.0109944445430301</v>
      </c>
      <c r="N313">
        <f t="shared" si="21"/>
        <v>19.259493611112703</v>
      </c>
      <c r="O313">
        <f>VLOOKUP(F313,SLA_Targets!$A$2:$C$5,2,FALSE)</f>
        <v>4</v>
      </c>
      <c r="P313">
        <f>VLOOKUP(F313,SLA_Targets!$A$2:$C$5,3,FALSE)</f>
        <v>24</v>
      </c>
      <c r="Q313" t="str">
        <f t="shared" si="22"/>
        <v>Met</v>
      </c>
      <c r="R313" t="str">
        <f t="shared" si="23"/>
        <v>Met</v>
      </c>
      <c r="S313" t="s">
        <v>17</v>
      </c>
      <c r="T313" t="s">
        <v>14</v>
      </c>
      <c r="U313">
        <v>2.1</v>
      </c>
      <c r="V313" t="s">
        <v>18</v>
      </c>
      <c r="W313">
        <f t="shared" si="24"/>
        <v>1</v>
      </c>
    </row>
    <row r="314" spans="1:23">
      <c r="A314" t="s">
        <v>401</v>
      </c>
      <c r="B314">
        <v>46200.582928240743</v>
      </c>
      <c r="C314">
        <v>46200.61907375</v>
      </c>
      <c r="D314">
        <v>46201.064412395834</v>
      </c>
      <c r="E314" t="s">
        <v>70</v>
      </c>
      <c r="F314" t="s">
        <v>4</v>
      </c>
      <c r="G314" t="s">
        <v>71</v>
      </c>
      <c r="H314" t="s">
        <v>84</v>
      </c>
      <c r="I314" t="s">
        <v>73</v>
      </c>
      <c r="J314" t="s">
        <v>25</v>
      </c>
      <c r="K314" t="s">
        <v>68</v>
      </c>
      <c r="L314">
        <v>4</v>
      </c>
      <c r="M314">
        <f t="shared" si="20"/>
        <v>0.8674922221689485</v>
      </c>
      <c r="N314">
        <f t="shared" si="21"/>
        <v>11.555619722174015</v>
      </c>
      <c r="O314">
        <f>VLOOKUP(F314,SLA_Targets!$A$2:$C$5,2,FALSE)</f>
        <v>1</v>
      </c>
      <c r="P314">
        <f>VLOOKUP(F314,SLA_Targets!$A$2:$C$5,3,FALSE)</f>
        <v>8</v>
      </c>
      <c r="Q314" t="str">
        <f t="shared" si="22"/>
        <v>Met</v>
      </c>
      <c r="R314" t="str">
        <f t="shared" si="23"/>
        <v>Breached</v>
      </c>
      <c r="S314" t="s">
        <v>26</v>
      </c>
      <c r="T314" t="s">
        <v>27</v>
      </c>
      <c r="U314">
        <v>6.3</v>
      </c>
      <c r="V314" t="s">
        <v>15</v>
      </c>
      <c r="W314">
        <f t="shared" si="24"/>
        <v>1</v>
      </c>
    </row>
    <row r="315" spans="1:23">
      <c r="A315" t="s">
        <v>402</v>
      </c>
      <c r="B315">
        <v>46131.579872685186</v>
      </c>
      <c r="C315">
        <v>46131.586164328706</v>
      </c>
      <c r="D315">
        <v>46131.62148577546</v>
      </c>
      <c r="E315" t="s">
        <v>75</v>
      </c>
      <c r="F315" t="s">
        <v>3</v>
      </c>
      <c r="G315" t="s">
        <v>65</v>
      </c>
      <c r="H315" t="s">
        <v>88</v>
      </c>
      <c r="I315" t="s">
        <v>89</v>
      </c>
      <c r="J315" t="s">
        <v>42</v>
      </c>
      <c r="K315" t="s">
        <v>68</v>
      </c>
      <c r="L315">
        <v>4</v>
      </c>
      <c r="M315">
        <f t="shared" si="20"/>
        <v>0.1509994444786571</v>
      </c>
      <c r="N315">
        <f t="shared" si="21"/>
        <v>0.99871416657697409</v>
      </c>
      <c r="O315">
        <f>VLOOKUP(F315,SLA_Targets!$A$2:$C$5,2,FALSE)</f>
        <v>0.5</v>
      </c>
      <c r="P315">
        <f>VLOOKUP(F315,SLA_Targets!$A$2:$C$5,3,FALSE)</f>
        <v>4</v>
      </c>
      <c r="Q315" t="str">
        <f t="shared" si="22"/>
        <v>Met</v>
      </c>
      <c r="R315" t="str">
        <f t="shared" si="23"/>
        <v>Met</v>
      </c>
      <c r="S315" t="s">
        <v>43</v>
      </c>
      <c r="T315" t="s">
        <v>21</v>
      </c>
      <c r="U315">
        <v>2.7</v>
      </c>
      <c r="V315" t="s">
        <v>36</v>
      </c>
      <c r="W315">
        <f t="shared" si="24"/>
        <v>1</v>
      </c>
    </row>
    <row r="316" spans="1:23">
      <c r="A316" t="s">
        <v>403</v>
      </c>
      <c r="B316">
        <v>46153.00340277778</v>
      </c>
      <c r="C316">
        <v>46153.017365844906</v>
      </c>
      <c r="D316">
        <v>46153.137435752316</v>
      </c>
      <c r="E316" t="s">
        <v>75</v>
      </c>
      <c r="F316" t="s">
        <v>3</v>
      </c>
      <c r="G316" t="s">
        <v>105</v>
      </c>
      <c r="H316" t="s">
        <v>72</v>
      </c>
      <c r="I316" t="s">
        <v>67</v>
      </c>
      <c r="J316" t="s">
        <v>34</v>
      </c>
      <c r="K316" t="s">
        <v>68</v>
      </c>
      <c r="L316">
        <v>4</v>
      </c>
      <c r="M316">
        <f t="shared" si="20"/>
        <v>0.3351136110140942</v>
      </c>
      <c r="N316">
        <f t="shared" si="21"/>
        <v>3.2167913888697512</v>
      </c>
      <c r="O316">
        <f>VLOOKUP(F316,SLA_Targets!$A$2:$C$5,2,FALSE)</f>
        <v>0.5</v>
      </c>
      <c r="P316">
        <f>VLOOKUP(F316,SLA_Targets!$A$2:$C$5,3,FALSE)</f>
        <v>4</v>
      </c>
      <c r="Q316" t="str">
        <f t="shared" si="22"/>
        <v>Met</v>
      </c>
      <c r="R316" t="str">
        <f t="shared" si="23"/>
        <v>Met</v>
      </c>
      <c r="S316" t="s">
        <v>35</v>
      </c>
      <c r="T316" t="s">
        <v>33</v>
      </c>
      <c r="U316">
        <v>3</v>
      </c>
      <c r="V316" t="s">
        <v>36</v>
      </c>
      <c r="W316">
        <f t="shared" si="24"/>
        <v>1</v>
      </c>
    </row>
    <row r="317" spans="1:23">
      <c r="A317" t="s">
        <v>404</v>
      </c>
      <c r="B317">
        <v>46172.704560185186</v>
      </c>
      <c r="C317">
        <v>46172.735129803237</v>
      </c>
      <c r="D317">
        <v>46173.076424270832</v>
      </c>
      <c r="E317" t="s">
        <v>75</v>
      </c>
      <c r="F317" t="s">
        <v>4</v>
      </c>
      <c r="G317" t="s">
        <v>83</v>
      </c>
      <c r="H317" t="s">
        <v>109</v>
      </c>
      <c r="I317" t="s">
        <v>73</v>
      </c>
      <c r="J317" t="s">
        <v>44</v>
      </c>
      <c r="K317" t="s">
        <v>68</v>
      </c>
      <c r="L317">
        <v>4</v>
      </c>
      <c r="M317">
        <f t="shared" si="20"/>
        <v>0.73367083322955295</v>
      </c>
      <c r="N317">
        <f t="shared" si="21"/>
        <v>8.9247380555025302</v>
      </c>
      <c r="O317">
        <f>VLOOKUP(F317,SLA_Targets!$A$2:$C$5,2,FALSE)</f>
        <v>1</v>
      </c>
      <c r="P317">
        <f>VLOOKUP(F317,SLA_Targets!$A$2:$C$5,3,FALSE)</f>
        <v>8</v>
      </c>
      <c r="Q317" t="str">
        <f t="shared" si="22"/>
        <v>Met</v>
      </c>
      <c r="R317" t="str">
        <f t="shared" si="23"/>
        <v>Breached</v>
      </c>
      <c r="S317" t="s">
        <v>45</v>
      </c>
      <c r="T317" t="s">
        <v>33</v>
      </c>
      <c r="U317">
        <v>5.0999999999999996</v>
      </c>
      <c r="V317" t="s">
        <v>30</v>
      </c>
      <c r="W317">
        <f t="shared" si="24"/>
        <v>1</v>
      </c>
    </row>
    <row r="318" spans="1:23">
      <c r="A318" t="s">
        <v>405</v>
      </c>
      <c r="B318">
        <v>46151.979166666664</v>
      </c>
      <c r="C318">
        <v>46152.180013425925</v>
      </c>
      <c r="D318">
        <v>46153.048950763892</v>
      </c>
      <c r="E318" t="s">
        <v>75</v>
      </c>
      <c r="F318" t="s">
        <v>6</v>
      </c>
      <c r="G318" t="s">
        <v>98</v>
      </c>
      <c r="H318" t="s">
        <v>77</v>
      </c>
      <c r="I318" t="s">
        <v>73</v>
      </c>
      <c r="J318" t="s">
        <v>16</v>
      </c>
      <c r="K318" t="s">
        <v>68</v>
      </c>
      <c r="L318">
        <v>5</v>
      </c>
      <c r="M318">
        <f t="shared" si="20"/>
        <v>4.8203222222509794</v>
      </c>
      <c r="N318">
        <f t="shared" si="21"/>
        <v>25.674818333471194</v>
      </c>
      <c r="O318">
        <f>VLOOKUP(F318,SLA_Targets!$A$2:$C$5,2,FALSE)</f>
        <v>8</v>
      </c>
      <c r="P318">
        <f>VLOOKUP(F318,SLA_Targets!$A$2:$C$5,3,FALSE)</f>
        <v>48</v>
      </c>
      <c r="Q318" t="str">
        <f t="shared" si="22"/>
        <v>Met</v>
      </c>
      <c r="R318" t="str">
        <f t="shared" si="23"/>
        <v>Met</v>
      </c>
      <c r="S318" t="s">
        <v>17</v>
      </c>
      <c r="T318" t="s">
        <v>14</v>
      </c>
      <c r="U318">
        <v>2.1</v>
      </c>
      <c r="V318" t="s">
        <v>18</v>
      </c>
      <c r="W318">
        <f t="shared" si="24"/>
        <v>1</v>
      </c>
    </row>
    <row r="319" spans="1:23">
      <c r="A319" t="s">
        <v>406</v>
      </c>
      <c r="B319">
        <v>46200.163969907408</v>
      </c>
      <c r="C319">
        <v>46200.172253113429</v>
      </c>
      <c r="D319">
        <v>46200.231574502315</v>
      </c>
      <c r="E319" t="s">
        <v>75</v>
      </c>
      <c r="F319" t="s">
        <v>3</v>
      </c>
      <c r="G319" t="s">
        <v>105</v>
      </c>
      <c r="H319" t="s">
        <v>106</v>
      </c>
      <c r="I319" t="s">
        <v>73</v>
      </c>
      <c r="J319" t="s">
        <v>34</v>
      </c>
      <c r="K319" t="s">
        <v>68</v>
      </c>
      <c r="L319">
        <v>5</v>
      </c>
      <c r="M319">
        <f t="shared" si="20"/>
        <v>0.19879694451810792</v>
      </c>
      <c r="N319">
        <f t="shared" si="21"/>
        <v>1.6225102777825668</v>
      </c>
      <c r="O319">
        <f>VLOOKUP(F319,SLA_Targets!$A$2:$C$5,2,FALSE)</f>
        <v>0.5</v>
      </c>
      <c r="P319">
        <f>VLOOKUP(F319,SLA_Targets!$A$2:$C$5,3,FALSE)</f>
        <v>4</v>
      </c>
      <c r="Q319" t="str">
        <f t="shared" si="22"/>
        <v>Met</v>
      </c>
      <c r="R319" t="str">
        <f t="shared" si="23"/>
        <v>Met</v>
      </c>
      <c r="S319" t="s">
        <v>35</v>
      </c>
      <c r="T319" t="s">
        <v>33</v>
      </c>
      <c r="U319">
        <v>3</v>
      </c>
      <c r="V319" t="s">
        <v>36</v>
      </c>
      <c r="W319">
        <f t="shared" si="24"/>
        <v>1</v>
      </c>
    </row>
    <row r="320" spans="1:23">
      <c r="A320" t="s">
        <v>407</v>
      </c>
      <c r="B320">
        <v>46184.526041666664</v>
      </c>
      <c r="C320">
        <v>46184.530329513887</v>
      </c>
      <c r="D320">
        <v>46184.610333599536</v>
      </c>
      <c r="E320" t="s">
        <v>75</v>
      </c>
      <c r="F320" t="s">
        <v>3</v>
      </c>
      <c r="G320" t="s">
        <v>65</v>
      </c>
      <c r="H320" t="s">
        <v>106</v>
      </c>
      <c r="I320" t="s">
        <v>89</v>
      </c>
      <c r="J320" t="s">
        <v>23</v>
      </c>
      <c r="K320" t="s">
        <v>68</v>
      </c>
      <c r="L320">
        <v>5</v>
      </c>
      <c r="M320">
        <f t="shared" si="20"/>
        <v>0.10290833335602656</v>
      </c>
      <c r="N320">
        <f t="shared" si="21"/>
        <v>2.0230063889175653</v>
      </c>
      <c r="O320">
        <f>VLOOKUP(F320,SLA_Targets!$A$2:$C$5,2,FALSE)</f>
        <v>0.5</v>
      </c>
      <c r="P320">
        <f>VLOOKUP(F320,SLA_Targets!$A$2:$C$5,3,FALSE)</f>
        <v>4</v>
      </c>
      <c r="Q320" t="str">
        <f t="shared" si="22"/>
        <v>Met</v>
      </c>
      <c r="R320" t="str">
        <f t="shared" si="23"/>
        <v>Met</v>
      </c>
      <c r="S320" t="s">
        <v>24</v>
      </c>
      <c r="T320" t="s">
        <v>21</v>
      </c>
      <c r="U320">
        <v>3.4</v>
      </c>
      <c r="V320" t="s">
        <v>22</v>
      </c>
      <c r="W320">
        <f t="shared" si="24"/>
        <v>1</v>
      </c>
    </row>
    <row r="321" spans="1:23">
      <c r="A321" t="s">
        <v>408</v>
      </c>
      <c r="B321">
        <v>46177.367372685185</v>
      </c>
      <c r="C321">
        <v>46177.409125208331</v>
      </c>
      <c r="D321">
        <v>46178.231405625003</v>
      </c>
      <c r="E321" t="s">
        <v>70</v>
      </c>
      <c r="F321" t="s">
        <v>5</v>
      </c>
      <c r="G321" t="s">
        <v>98</v>
      </c>
      <c r="H321" t="s">
        <v>84</v>
      </c>
      <c r="I321" t="s">
        <v>73</v>
      </c>
      <c r="J321" t="s">
        <v>12</v>
      </c>
      <c r="K321" t="s">
        <v>68</v>
      </c>
      <c r="L321">
        <v>4</v>
      </c>
      <c r="M321">
        <f t="shared" si="20"/>
        <v>1.0020605555037037</v>
      </c>
      <c r="N321">
        <f t="shared" si="21"/>
        <v>20.736790555645712</v>
      </c>
      <c r="O321">
        <f>VLOOKUP(F321,SLA_Targets!$A$2:$C$5,2,FALSE)</f>
        <v>4</v>
      </c>
      <c r="P321">
        <f>VLOOKUP(F321,SLA_Targets!$A$2:$C$5,3,FALSE)</f>
        <v>24</v>
      </c>
      <c r="Q321" t="str">
        <f t="shared" si="22"/>
        <v>Met</v>
      </c>
      <c r="R321" t="str">
        <f t="shared" si="23"/>
        <v>Met</v>
      </c>
      <c r="S321" t="s">
        <v>13</v>
      </c>
      <c r="T321" t="s">
        <v>14</v>
      </c>
      <c r="U321">
        <v>4.2</v>
      </c>
      <c r="V321" t="s">
        <v>15</v>
      </c>
      <c r="W321">
        <f t="shared" si="24"/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4"/>
  <cols>
    <col min="1" max="1" width="95" customWidth="1"/>
  </cols>
  <sheetData>
    <row r="1" spans="1:1">
      <c r="A1" s="11" t="s">
        <v>418</v>
      </c>
    </row>
    <row r="2" spans="1:1">
      <c r="A2" s="11" t="s">
        <v>419</v>
      </c>
    </row>
    <row r="3" spans="1:1">
      <c r="A3" s="11" t="s">
        <v>420</v>
      </c>
    </row>
    <row r="4" spans="1:1">
      <c r="A4" s="11" t="s">
        <v>421</v>
      </c>
    </row>
    <row r="5" spans="1:1">
      <c r="A5" s="11" t="s">
        <v>422</v>
      </c>
    </row>
    <row r="6" spans="1:1">
      <c r="A6" s="11" t="s">
        <v>423</v>
      </c>
    </row>
    <row r="7" spans="1:1" ht="28">
      <c r="A7" s="11" t="s">
        <v>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workbookViewId="0"/>
  </sheetViews>
  <sheetFormatPr defaultRowHeight="14"/>
  <cols>
    <col min="1" max="1" width="24" customWidth="1"/>
    <col min="2" max="3" width="10" customWidth="1"/>
    <col min="4" max="4" width="12" customWidth="1"/>
    <col min="5" max="5" width="11" customWidth="1"/>
    <col min="6" max="6" width="10" customWidth="1"/>
    <col min="7" max="7" width="12" customWidth="1"/>
    <col min="8" max="9" width="11" customWidth="1"/>
    <col min="10" max="11" width="12" customWidth="1"/>
    <col min="12" max="13" width="10" customWidth="1"/>
  </cols>
  <sheetData>
    <row r="1" spans="1:16" ht="20">
      <c r="A1" s="12" t="s">
        <v>425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6">
      <c r="A3" s="5" t="s">
        <v>426</v>
      </c>
      <c r="B3" s="5" t="s">
        <v>427</v>
      </c>
      <c r="D3" s="5" t="s">
        <v>428</v>
      </c>
      <c r="E3" s="5" t="s">
        <v>429</v>
      </c>
      <c r="F3" s="5" t="s">
        <v>430</v>
      </c>
      <c r="H3" s="5" t="s">
        <v>431</v>
      </c>
      <c r="I3" s="5" t="s">
        <v>429</v>
      </c>
      <c r="J3" s="5" t="s">
        <v>430</v>
      </c>
      <c r="O3" s="16" t="s">
        <v>432</v>
      </c>
      <c r="P3" s="16" t="s">
        <v>433</v>
      </c>
    </row>
    <row r="4" spans="1:16">
      <c r="A4" s="15" t="s">
        <v>434</v>
      </c>
      <c r="B4" s="15">
        <f>COUNTA(Clean_Tickets!$A$2:$A$321)</f>
        <v>320</v>
      </c>
      <c r="D4" t="s">
        <v>435</v>
      </c>
      <c r="E4">
        <f>COUNTIF(Clean_Tickets!$Q$2:$Q$321,D4)</f>
        <v>240</v>
      </c>
      <c r="F4" s="14">
        <f>E4/SUM($E$4:$E$6)</f>
        <v>0.75</v>
      </c>
      <c r="H4" t="s">
        <v>435</v>
      </c>
      <c r="I4">
        <f>COUNTIF(Clean_Tickets!$R$2:$R$321,H4)</f>
        <v>213</v>
      </c>
      <c r="J4" s="14">
        <f>I4/SUM($I$4:$I$6)</f>
        <v>0.66562500000000002</v>
      </c>
      <c r="O4" t="str">
        <f t="shared" ref="O4:O11" si="0">A26</f>
        <v>Password / Access</v>
      </c>
      <c r="P4" s="14">
        <f t="shared" ref="P4:P11" si="1">I26</f>
        <v>0.9464285714285714</v>
      </c>
    </row>
    <row r="5" spans="1:16">
      <c r="A5" s="15" t="s">
        <v>436</v>
      </c>
      <c r="B5" s="15">
        <f>COUNTIF(Clean_Tickets!$E$2:$E$321,"Closed")+COUNTIF(Clean_Tickets!$E$2:$E$321,"Resolved")</f>
        <v>304</v>
      </c>
      <c r="D5" t="s">
        <v>437</v>
      </c>
      <c r="E5">
        <f>COUNTIF(Clean_Tickets!$Q$2:$Q$321,D5)</f>
        <v>80</v>
      </c>
      <c r="F5" s="14">
        <f>E5/SUM($E$4:$E$6)</f>
        <v>0.25</v>
      </c>
      <c r="H5" t="s">
        <v>437</v>
      </c>
      <c r="I5">
        <f>COUNTIF(Clean_Tickets!$R$2:$R$321,H5)</f>
        <v>91</v>
      </c>
      <c r="J5" s="14">
        <f>I5/SUM($I$4:$I$6)</f>
        <v>0.28437499999999999</v>
      </c>
      <c r="O5" t="str">
        <f t="shared" si="0"/>
        <v>Laptop / Hardware</v>
      </c>
      <c r="P5" s="14">
        <f t="shared" si="1"/>
        <v>0.60416666666666663</v>
      </c>
    </row>
    <row r="6" spans="1:16">
      <c r="A6" s="15" t="s">
        <v>438</v>
      </c>
      <c r="B6" s="15">
        <f>COUNTIF(Clean_Tickets!$E$2:$E$321,"Pending")+COUNTIF(Clean_Tickets!$E$2:$E$321,"In Progress")</f>
        <v>16</v>
      </c>
      <c r="D6" t="s">
        <v>132</v>
      </c>
      <c r="E6">
        <f>COUNTIF(Clean_Tickets!$Q$2:$Q$321,D6)</f>
        <v>0</v>
      </c>
      <c r="F6" s="14">
        <f>E6/SUM($E$4:$E$6)</f>
        <v>0</v>
      </c>
      <c r="H6" t="s">
        <v>132</v>
      </c>
      <c r="I6">
        <f>COUNTIF(Clean_Tickets!$R$2:$R$321,H6)</f>
        <v>16</v>
      </c>
      <c r="J6" s="14">
        <f>I6/SUM($I$4:$I$6)</f>
        <v>0.05</v>
      </c>
      <c r="O6" t="str">
        <f t="shared" si="0"/>
        <v>Email / Collaboration</v>
      </c>
      <c r="P6" s="14">
        <f t="shared" si="1"/>
        <v>0.7857142857142857</v>
      </c>
    </row>
    <row r="7" spans="1:16">
      <c r="A7" s="15" t="s">
        <v>439</v>
      </c>
      <c r="B7" s="15">
        <f>COUNTIF(Clean_Tickets!$K$2:$K$321,"Yes")</f>
        <v>36</v>
      </c>
      <c r="O7" t="str">
        <f t="shared" si="0"/>
        <v>VPN / Network</v>
      </c>
      <c r="P7" s="14">
        <f t="shared" si="1"/>
        <v>0.74358974358974361</v>
      </c>
    </row>
    <row r="8" spans="1:16">
      <c r="A8" s="15" t="s">
        <v>440</v>
      </c>
      <c r="B8" s="14">
        <f>B7/B4</f>
        <v>0.1125</v>
      </c>
      <c r="O8" t="str">
        <f t="shared" si="0"/>
        <v>ERP / Finance App</v>
      </c>
      <c r="P8" s="14">
        <f t="shared" si="1"/>
        <v>0.5714285714285714</v>
      </c>
    </row>
    <row r="9" spans="1:16">
      <c r="A9" s="15" t="s">
        <v>441</v>
      </c>
      <c r="B9" s="13">
        <f>SUM(Clean_Tickets!$M$2:$M$321)/COUNT(Clean_Tickets!$M$2:$M$321)</f>
        <v>2.6397432517387642</v>
      </c>
      <c r="O9" t="str">
        <f t="shared" si="0"/>
        <v>CRM / Sales App</v>
      </c>
      <c r="P9" s="14">
        <f t="shared" si="1"/>
        <v>0.5</v>
      </c>
    </row>
    <row r="10" spans="1:16">
      <c r="A10" s="15" t="s">
        <v>442</v>
      </c>
      <c r="B10" s="13">
        <f>SUM(Clean_Tickets!$N$2:$N$321)/COUNT(Clean_Tickets!$N$2:$N$321)</f>
        <v>18.10864160453275</v>
      </c>
      <c r="O10" t="str">
        <f t="shared" si="0"/>
        <v>Server / Connectivity</v>
      </c>
      <c r="P10" s="14">
        <f t="shared" si="1"/>
        <v>0.46875</v>
      </c>
    </row>
    <row r="11" spans="1:16">
      <c r="A11" s="15" t="s">
        <v>443</v>
      </c>
      <c r="B11" s="13">
        <f>SUM(Clean_Tickets!$L$2:$L$321)/COUNT(Clean_Tickets!$L$2:$L$321)</f>
        <v>4.1118421052631575</v>
      </c>
      <c r="O11" t="str">
        <f t="shared" si="0"/>
        <v>Printer / Peripheral</v>
      </c>
      <c r="P11" s="14">
        <f t="shared" si="1"/>
        <v>0.9</v>
      </c>
    </row>
    <row r="12" spans="1:16">
      <c r="A12" s="15" t="s">
        <v>444</v>
      </c>
      <c r="B12" s="14">
        <f>COUNTIF(Clean_Tickets!$Q$2:$Q$321,"Met")/(COUNTIF(Clean_Tickets!$Q$2:$Q$321,"Met")+COUNTIF(Clean_Tickets!$Q$2:$Q$321,"Breached"))</f>
        <v>0.75</v>
      </c>
    </row>
    <row r="13" spans="1:16">
      <c r="A13" s="15" t="s">
        <v>445</v>
      </c>
      <c r="B13" s="14">
        <f>COUNTIF(Clean_Tickets!$R$2:$R$321,"Met")/(COUNTIF(Clean_Tickets!$R$2:$R$321,"Met")+COUNTIF(Clean_Tickets!$R$2:$R$321,"Breached"))</f>
        <v>0.70065789473684215</v>
      </c>
    </row>
    <row r="14" spans="1:16">
      <c r="O14" s="16" t="s">
        <v>446</v>
      </c>
      <c r="P14" s="16" t="s">
        <v>433</v>
      </c>
    </row>
    <row r="15" spans="1:16">
      <c r="O15" t="str">
        <f>A50</f>
        <v>Workplace Support</v>
      </c>
      <c r="P15" s="14">
        <f>I50</f>
        <v>0.72727272727272729</v>
      </c>
    </row>
    <row r="16" spans="1:16">
      <c r="A16" s="2" t="s">
        <v>447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O16" t="str">
        <f>A51</f>
        <v>Network &amp; Infra</v>
      </c>
      <c r="P16" s="14">
        <f>I51</f>
        <v>0.61971830985915488</v>
      </c>
    </row>
    <row r="17" spans="1:16" ht="28">
      <c r="A17" s="17" t="s">
        <v>448</v>
      </c>
      <c r="B17" s="17" t="s">
        <v>429</v>
      </c>
      <c r="C17" s="17" t="s">
        <v>449</v>
      </c>
      <c r="D17" s="17" t="s">
        <v>450</v>
      </c>
      <c r="E17" s="17" t="s">
        <v>451</v>
      </c>
      <c r="F17" s="17" t="s">
        <v>452</v>
      </c>
      <c r="G17" s="17" t="s">
        <v>453</v>
      </c>
      <c r="H17" s="17" t="s">
        <v>454</v>
      </c>
      <c r="I17" s="17" t="s">
        <v>455</v>
      </c>
      <c r="J17" s="17" t="s">
        <v>456</v>
      </c>
      <c r="K17" s="17" t="s">
        <v>457</v>
      </c>
      <c r="L17" s="17" t="s">
        <v>443</v>
      </c>
      <c r="M17" s="17" t="s">
        <v>57</v>
      </c>
      <c r="O17" t="str">
        <f>A52</f>
        <v>Business Apps</v>
      </c>
      <c r="P17" s="14">
        <f>I52</f>
        <v>0.53731343283582089</v>
      </c>
    </row>
    <row r="18" spans="1:16">
      <c r="A18" t="s">
        <v>3</v>
      </c>
      <c r="B18">
        <f>COUNTIF(Clean_Tickets!$F$2:$F$321,A18)</f>
        <v>60</v>
      </c>
      <c r="C18">
        <f>COUNTIFS(Clean_Tickets!$F$2:$F$321,A18,Clean_Tickets!$Q$2:$Q$321,"Met")</f>
        <v>54</v>
      </c>
      <c r="D18">
        <f>COUNTIFS(Clean_Tickets!$F$2:$F$321,A18,Clean_Tickets!$Q$2:$Q$321,"Breached")</f>
        <v>6</v>
      </c>
      <c r="E18" s="14">
        <f>IFERROR(C18/(C18+D18),0)</f>
        <v>0.9</v>
      </c>
      <c r="F18">
        <f>COUNTIFS(Clean_Tickets!$F$2:$F$321,A18,Clean_Tickets!$R$2:$R$321,"Met")</f>
        <v>46</v>
      </c>
      <c r="G18">
        <f>COUNTIFS(Clean_Tickets!$F$2:$F$321,A18,Clean_Tickets!$R$2:$R$321,"Breached")</f>
        <v>12</v>
      </c>
      <c r="H18">
        <f>COUNTIFS(Clean_Tickets!$F$2:$F$321,A18,Clean_Tickets!$R$2:$R$321,"Pending")</f>
        <v>2</v>
      </c>
      <c r="I18" s="14">
        <f>IFERROR(F18/(F18+G18),0)</f>
        <v>0.7931034482758621</v>
      </c>
      <c r="J18" s="13">
        <f>IFERROR(SUMIF(Clean_Tickets!$F$2:$F$321,A18,Clean_Tickets!$M$2:$M$321)/COUNTIF(Clean_Tickets!$F$2:$F$321,A18),0)</f>
        <v>0.28721683334442788</v>
      </c>
      <c r="K18" s="13">
        <f>IFERROR(SUMIF(Clean_Tickets!$F$2:$F$321,A18,Clean_Tickets!$N$2:$N$321)/(COUNTIFS(Clean_Tickets!$F$2:$F$321,A18,Clean_Tickets!$E$2:$E$321,"Closed")+COUNTIFS(Clean_Tickets!$F$2:$F$321,A18,Clean_Tickets!$E$2:$E$321,"Resolved")),0)</f>
        <v>2.9809525862069206</v>
      </c>
      <c r="L18" s="13">
        <f>IFERROR(SUMIF(Clean_Tickets!$F$2:$F$321,A18,Clean_Tickets!$L$2:$L$321)/COUNTIFS(Clean_Tickets!$F$2:$F$321,A18,Clean_Tickets!$L$2:$L$321,"&gt;0"),0)</f>
        <v>4.2068965517241379</v>
      </c>
      <c r="M18">
        <f>COUNTIFS(Clean_Tickets!$F$2:$F$321,A18,Clean_Tickets!$K$2:$K$321,"Yes")</f>
        <v>8</v>
      </c>
      <c r="O18" t="str">
        <f>A53</f>
        <v>Identity &amp; Access</v>
      </c>
      <c r="P18" s="14">
        <f>I53</f>
        <v>0.9464285714285714</v>
      </c>
    </row>
    <row r="19" spans="1:16">
      <c r="A19" t="s">
        <v>4</v>
      </c>
      <c r="B19">
        <f>COUNTIF(Clean_Tickets!$F$2:$F$321,A19)</f>
        <v>84</v>
      </c>
      <c r="C19">
        <f>COUNTIFS(Clean_Tickets!$F$2:$F$321,A19,Clean_Tickets!$Q$2:$Q$321,"Met")</f>
        <v>58</v>
      </c>
      <c r="D19">
        <f>COUNTIFS(Clean_Tickets!$F$2:$F$321,A19,Clean_Tickets!$Q$2:$Q$321,"Breached")</f>
        <v>26</v>
      </c>
      <c r="E19" s="14">
        <f>IFERROR(C19/(C19+D19),0)</f>
        <v>0.69047619047619047</v>
      </c>
      <c r="F19">
        <f>COUNTIFS(Clean_Tickets!$F$2:$F$321,A19,Clean_Tickets!$R$2:$R$321,"Met")</f>
        <v>55</v>
      </c>
      <c r="G19">
        <f>COUNTIFS(Clean_Tickets!$F$2:$F$321,A19,Clean_Tickets!$R$2:$R$321,"Breached")</f>
        <v>26</v>
      </c>
      <c r="H19">
        <f>COUNTIFS(Clean_Tickets!$F$2:$F$321,A19,Clean_Tickets!$R$2:$R$321,"Pending")</f>
        <v>3</v>
      </c>
      <c r="I19" s="14">
        <f>IFERROR(F19/(F19+G19),0)</f>
        <v>0.67901234567901236</v>
      </c>
      <c r="J19" s="13">
        <f>IFERROR(SUMIF(Clean_Tickets!$F$2:$F$321,A19,Clean_Tickets!$M$2:$M$321)/COUNTIF(Clean_Tickets!$F$2:$F$321,A19),0)</f>
        <v>0.8823172718174257</v>
      </c>
      <c r="K19" s="13">
        <f>IFERROR(SUMIF(Clean_Tickets!$F$2:$F$321,A19,Clean_Tickets!$N$2:$N$321)/(COUNTIFS(Clean_Tickets!$F$2:$F$321,A19,Clean_Tickets!$E$2:$E$321,"Closed")+COUNTIFS(Clean_Tickets!$F$2:$F$321,A19,Clean_Tickets!$E$2:$E$321,"Resolved")),0)</f>
        <v>7.2748293312701948</v>
      </c>
      <c r="L19" s="13">
        <f>IFERROR(SUMIF(Clean_Tickets!$F$2:$F$321,A19,Clean_Tickets!$L$2:$L$321)/COUNTIFS(Clean_Tickets!$F$2:$F$321,A19,Clean_Tickets!$L$2:$L$321,"&gt;0"),0)</f>
        <v>4.0617283950617287</v>
      </c>
      <c r="M19">
        <f>COUNTIFS(Clean_Tickets!$F$2:$F$321,A19,Clean_Tickets!$K$2:$K$321,"Yes")</f>
        <v>11</v>
      </c>
    </row>
    <row r="20" spans="1:16">
      <c r="A20" t="s">
        <v>5</v>
      </c>
      <c r="B20">
        <f>COUNTIF(Clean_Tickets!$F$2:$F$321,A20)</f>
        <v>127</v>
      </c>
      <c r="C20">
        <f>COUNTIFS(Clean_Tickets!$F$2:$F$321,A20,Clean_Tickets!$Q$2:$Q$321,"Met")</f>
        <v>94</v>
      </c>
      <c r="D20">
        <f>COUNTIFS(Clean_Tickets!$F$2:$F$321,A20,Clean_Tickets!$Q$2:$Q$321,"Breached")</f>
        <v>33</v>
      </c>
      <c r="E20" s="14">
        <f>IFERROR(C20/(C20+D20),0)</f>
        <v>0.74015748031496065</v>
      </c>
      <c r="F20">
        <f>COUNTIFS(Clean_Tickets!$F$2:$F$321,A20,Clean_Tickets!$R$2:$R$321,"Met")</f>
        <v>82</v>
      </c>
      <c r="G20">
        <f>COUNTIFS(Clean_Tickets!$F$2:$F$321,A20,Clean_Tickets!$R$2:$R$321,"Breached")</f>
        <v>38</v>
      </c>
      <c r="H20">
        <f>COUNTIFS(Clean_Tickets!$F$2:$F$321,A20,Clean_Tickets!$R$2:$R$321,"Pending")</f>
        <v>7</v>
      </c>
      <c r="I20" s="14">
        <f>IFERROR(F20/(F20+G20),0)</f>
        <v>0.68333333333333335</v>
      </c>
      <c r="J20" s="13">
        <f>IFERROR(SUMIF(Clean_Tickets!$F$2:$F$321,A20,Clean_Tickets!$M$2:$M$321)/COUNTIF(Clean_Tickets!$F$2:$F$321,A20),0)</f>
        <v>3.3539497003524827</v>
      </c>
      <c r="K20" s="13">
        <f>IFERROR(SUMIF(Clean_Tickets!$F$2:$F$321,A20,Clean_Tickets!$N$2:$N$321)/(COUNTIFS(Clean_Tickets!$F$2:$F$321,A20,Clean_Tickets!$E$2:$E$321,"Closed")+COUNTIFS(Clean_Tickets!$F$2:$F$321,A20,Clean_Tickets!$E$2:$E$321,"Resolved")),0)</f>
        <v>20.976325277783324</v>
      </c>
      <c r="L20" s="13">
        <f>IFERROR(SUMIF(Clean_Tickets!$F$2:$F$321,A20,Clean_Tickets!$L$2:$L$321)/COUNTIFS(Clean_Tickets!$F$2:$F$321,A20,Clean_Tickets!$L$2:$L$321,"&gt;0"),0)</f>
        <v>4.0750000000000002</v>
      </c>
      <c r="M20">
        <f>COUNTIFS(Clean_Tickets!$F$2:$F$321,A20,Clean_Tickets!$K$2:$K$321,"Yes")</f>
        <v>13</v>
      </c>
    </row>
    <row r="21" spans="1:16">
      <c r="A21" t="s">
        <v>6</v>
      </c>
      <c r="B21">
        <f>COUNTIF(Clean_Tickets!$F$2:$F$321,A21)</f>
        <v>49</v>
      </c>
      <c r="C21">
        <f>COUNTIFS(Clean_Tickets!$F$2:$F$321,A21,Clean_Tickets!$Q$2:$Q$321,"Met")</f>
        <v>34</v>
      </c>
      <c r="D21">
        <f>COUNTIFS(Clean_Tickets!$F$2:$F$321,A21,Clean_Tickets!$Q$2:$Q$321,"Breached")</f>
        <v>15</v>
      </c>
      <c r="E21" s="14">
        <f>IFERROR(C21/(C21+D21),0)</f>
        <v>0.69387755102040816</v>
      </c>
      <c r="F21">
        <f>COUNTIFS(Clean_Tickets!$F$2:$F$321,A21,Clean_Tickets!$R$2:$R$321,"Met")</f>
        <v>30</v>
      </c>
      <c r="G21">
        <f>COUNTIFS(Clean_Tickets!$F$2:$F$321,A21,Clean_Tickets!$R$2:$R$321,"Breached")</f>
        <v>15</v>
      </c>
      <c r="H21">
        <f>COUNTIFS(Clean_Tickets!$F$2:$F$321,A21,Clean_Tickets!$R$2:$R$321,"Pending")</f>
        <v>4</v>
      </c>
      <c r="I21" s="14">
        <f>IFERROR(F21/(F21+G21),0)</f>
        <v>0.66666666666666663</v>
      </c>
      <c r="J21" s="13">
        <f>IFERROR(SUMIF(Clean_Tickets!$F$2:$F$321,A21,Clean_Tickets!$M$2:$M$321)/COUNTIF(Clean_Tickets!$F$2:$F$321,A21),0)</f>
        <v>6.682011587312445</v>
      </c>
      <c r="K21" s="13">
        <f>IFERROR(SUMIF(Clean_Tickets!$F$2:$F$321,A21,Clean_Tickets!$N$2:$N$321)/(COUNTIFS(Clean_Tickets!$F$2:$F$321,A21,Clean_Tickets!$E$2:$E$321,"Closed")+COUNTIFS(Clean_Tickets!$F$2:$F$321,A21,Clean_Tickets!$E$2:$E$321,"Resolved")),0)</f>
        <v>49.460257524690434</v>
      </c>
      <c r="L21" s="13">
        <f>IFERROR(SUMIF(Clean_Tickets!$F$2:$F$321,A21,Clean_Tickets!$L$2:$L$321)/COUNTIFS(Clean_Tickets!$F$2:$F$321,A21,Clean_Tickets!$L$2:$L$321,"&gt;0"),0)</f>
        <v>4.177777777777778</v>
      </c>
      <c r="M21">
        <f>COUNTIFS(Clean_Tickets!$F$2:$F$321,A21,Clean_Tickets!$K$2:$K$321,"Yes")</f>
        <v>4</v>
      </c>
    </row>
    <row r="24" spans="1:16">
      <c r="A24" s="2" t="s">
        <v>458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6" ht="28">
      <c r="A25" s="17" t="s">
        <v>448</v>
      </c>
      <c r="B25" s="17" t="s">
        <v>429</v>
      </c>
      <c r="C25" s="17" t="s">
        <v>449</v>
      </c>
      <c r="D25" s="17" t="s">
        <v>450</v>
      </c>
      <c r="E25" s="17" t="s">
        <v>451</v>
      </c>
      <c r="F25" s="17" t="s">
        <v>452</v>
      </c>
      <c r="G25" s="17" t="s">
        <v>453</v>
      </c>
      <c r="H25" s="17" t="s">
        <v>454</v>
      </c>
      <c r="I25" s="17" t="s">
        <v>455</v>
      </c>
      <c r="J25" s="17" t="s">
        <v>456</v>
      </c>
      <c r="K25" s="17" t="s">
        <v>457</v>
      </c>
      <c r="L25" s="17" t="s">
        <v>443</v>
      </c>
      <c r="M25" s="17" t="s">
        <v>57</v>
      </c>
    </row>
    <row r="26" spans="1:16">
      <c r="A26" t="s">
        <v>65</v>
      </c>
      <c r="B26">
        <f>COUNTIF(Clean_Tickets!$G$2:$G$321,A26)</f>
        <v>57</v>
      </c>
      <c r="C26">
        <f>COUNTIFS(Clean_Tickets!$G$2:$G$321,A26,Clean_Tickets!$Q$2:$Q$321,"Met")</f>
        <v>51</v>
      </c>
      <c r="D26">
        <f>COUNTIFS(Clean_Tickets!$G$2:$G$321,A26,Clean_Tickets!$Q$2:$Q$321,"Breached")</f>
        <v>6</v>
      </c>
      <c r="E26" s="14">
        <f t="shared" ref="E26:E33" si="2">IFERROR(C26/(C26+D26),0)</f>
        <v>0.89473684210526316</v>
      </c>
      <c r="F26">
        <f>COUNTIFS(Clean_Tickets!$G$2:$G$321,A26,Clean_Tickets!$R$2:$R$321,"Met")</f>
        <v>53</v>
      </c>
      <c r="G26">
        <f>COUNTIFS(Clean_Tickets!$G$2:$G$321,A26,Clean_Tickets!$R$2:$R$321,"Breached")</f>
        <v>3</v>
      </c>
      <c r="H26">
        <f>COUNTIFS(Clean_Tickets!$G$2:$G$321,A26,Clean_Tickets!$R$2:$R$321,"Pending")</f>
        <v>1</v>
      </c>
      <c r="I26" s="14">
        <f t="shared" ref="I26:I33" si="3">IFERROR(F26/(F26+G26),0)</f>
        <v>0.9464285714285714</v>
      </c>
      <c r="J26" s="13">
        <f>IFERROR(SUMIF(Clean_Tickets!$G$2:$G$321,A26,Clean_Tickets!$M$2:$M$321)/COUNTIF(Clean_Tickets!$G$2:$G$321,A26),0)</f>
        <v>0.95079505848575774</v>
      </c>
      <c r="K26" s="13">
        <f>IFERROR(SUMIF(Clean_Tickets!$G$2:$G$321,A26,Clean_Tickets!$N$2:$N$321)/(COUNTIFS(Clean_Tickets!$G$2:$G$321,A26,Clean_Tickets!$E$2:$E$321,"Closed")+COUNTIFS(Clean_Tickets!$G$2:$G$321,A26,Clean_Tickets!$E$2:$E$321,"Resolved")),0)</f>
        <v>5.2940631994060823</v>
      </c>
      <c r="L26" s="13">
        <f>IFERROR(SUMIF(Clean_Tickets!$G$2:$G$321,A26,Clean_Tickets!$L$2:$L$321)/COUNTIFS(Clean_Tickets!$G$2:$G$321,A26,Clean_Tickets!$L$2:$L$321,"&gt;0"),0)</f>
        <v>4.2321428571428568</v>
      </c>
      <c r="M26">
        <f>COUNTIFS(Clean_Tickets!$G$2:$G$321,A26,Clean_Tickets!$K$2:$K$321,"Yes")</f>
        <v>7</v>
      </c>
    </row>
    <row r="27" spans="1:16">
      <c r="A27" t="s">
        <v>79</v>
      </c>
      <c r="B27">
        <f>COUNTIF(Clean_Tickets!$G$2:$G$321,A27)</f>
        <v>53</v>
      </c>
      <c r="C27">
        <f>COUNTIFS(Clean_Tickets!$G$2:$G$321,A27,Clean_Tickets!$Q$2:$Q$321,"Met")</f>
        <v>30</v>
      </c>
      <c r="D27">
        <f>COUNTIFS(Clean_Tickets!$G$2:$G$321,A27,Clean_Tickets!$Q$2:$Q$321,"Breached")</f>
        <v>23</v>
      </c>
      <c r="E27" s="14">
        <f t="shared" si="2"/>
        <v>0.56603773584905659</v>
      </c>
      <c r="F27">
        <f>COUNTIFS(Clean_Tickets!$G$2:$G$321,A27,Clean_Tickets!$R$2:$R$321,"Met")</f>
        <v>29</v>
      </c>
      <c r="G27">
        <f>COUNTIFS(Clean_Tickets!$G$2:$G$321,A27,Clean_Tickets!$R$2:$R$321,"Breached")</f>
        <v>19</v>
      </c>
      <c r="H27">
        <f>COUNTIFS(Clean_Tickets!$G$2:$G$321,A27,Clean_Tickets!$R$2:$R$321,"Pending")</f>
        <v>5</v>
      </c>
      <c r="I27" s="14">
        <f t="shared" si="3"/>
        <v>0.60416666666666663</v>
      </c>
      <c r="J27" s="13">
        <f>IFERROR(SUMIF(Clean_Tickets!$G$2:$G$321,A27,Clean_Tickets!$M$2:$M$321)/COUNTIF(Clean_Tickets!$G$2:$G$321,A27),0)</f>
        <v>4.8761723218068376</v>
      </c>
      <c r="K27" s="13">
        <f>IFERROR(SUMIF(Clean_Tickets!$G$2:$G$321,A27,Clean_Tickets!$N$2:$N$321)/(COUNTIFS(Clean_Tickets!$G$2:$G$321,A27,Clean_Tickets!$E$2:$E$321,"Closed")+COUNTIFS(Clean_Tickets!$G$2:$G$321,A27,Clean_Tickets!$E$2:$E$321,"Resolved")),0)</f>
        <v>32.797929253451002</v>
      </c>
      <c r="L27" s="13">
        <f>IFERROR(SUMIF(Clean_Tickets!$G$2:$G$321,A27,Clean_Tickets!$L$2:$L$321)/COUNTIFS(Clean_Tickets!$G$2:$G$321,A27,Clean_Tickets!$L$2:$L$321,"&gt;0"),0)</f>
        <v>4</v>
      </c>
      <c r="M27">
        <f>COUNTIFS(Clean_Tickets!$G$2:$G$321,A27,Clean_Tickets!$K$2:$K$321,"Yes")</f>
        <v>5</v>
      </c>
    </row>
    <row r="28" spans="1:16">
      <c r="A28" t="s">
        <v>94</v>
      </c>
      <c r="B28">
        <f>COUNTIF(Clean_Tickets!$G$2:$G$321,A28)</f>
        <v>45</v>
      </c>
      <c r="C28">
        <f>COUNTIFS(Clean_Tickets!$G$2:$G$321,A28,Clean_Tickets!$Q$2:$Q$321,"Met")</f>
        <v>39</v>
      </c>
      <c r="D28">
        <f>COUNTIFS(Clean_Tickets!$G$2:$G$321,A28,Clean_Tickets!$Q$2:$Q$321,"Breached")</f>
        <v>6</v>
      </c>
      <c r="E28" s="14">
        <f t="shared" si="2"/>
        <v>0.8666666666666667</v>
      </c>
      <c r="F28">
        <f>COUNTIFS(Clean_Tickets!$G$2:$G$321,A28,Clean_Tickets!$R$2:$R$321,"Met")</f>
        <v>33</v>
      </c>
      <c r="G28">
        <f>COUNTIFS(Clean_Tickets!$G$2:$G$321,A28,Clean_Tickets!$R$2:$R$321,"Breached")</f>
        <v>9</v>
      </c>
      <c r="H28">
        <f>COUNTIFS(Clean_Tickets!$G$2:$G$321,A28,Clean_Tickets!$R$2:$R$321,"Pending")</f>
        <v>3</v>
      </c>
      <c r="I28" s="14">
        <f t="shared" si="3"/>
        <v>0.7857142857142857</v>
      </c>
      <c r="J28" s="13">
        <f>IFERROR(SUMIF(Clean_Tickets!$G$2:$G$321,A28,Clean_Tickets!$M$2:$M$321)/COUNTIF(Clean_Tickets!$G$2:$G$321,A28),0)</f>
        <v>2.7938541543320752</v>
      </c>
      <c r="K28" s="13">
        <f>IFERROR(SUMIF(Clean_Tickets!$G$2:$G$321,A28,Clean_Tickets!$N$2:$N$321)/(COUNTIFS(Clean_Tickets!$G$2:$G$321,A28,Clean_Tickets!$E$2:$E$321,"Closed")+COUNTIFS(Clean_Tickets!$G$2:$G$321,A28,Clean_Tickets!$E$2:$E$321,"Resolved")),0)</f>
        <v>17.377043578050298</v>
      </c>
      <c r="L28" s="13">
        <f>IFERROR(SUMIF(Clean_Tickets!$G$2:$G$321,A28,Clean_Tickets!$L$2:$L$321)/COUNTIFS(Clean_Tickets!$G$2:$G$321,A28,Clean_Tickets!$L$2:$L$321,"&gt;0"),0)</f>
        <v>4.3095238095238093</v>
      </c>
      <c r="M28">
        <f>COUNTIFS(Clean_Tickets!$G$2:$G$321,A28,Clean_Tickets!$K$2:$K$321,"Yes")</f>
        <v>4</v>
      </c>
    </row>
    <row r="29" spans="1:16">
      <c r="A29" t="s">
        <v>105</v>
      </c>
      <c r="B29">
        <f>COUNTIF(Clean_Tickets!$G$2:$G$321,A29)</f>
        <v>40</v>
      </c>
      <c r="C29">
        <f>COUNTIFS(Clean_Tickets!$G$2:$G$321,A29,Clean_Tickets!$Q$2:$Q$321,"Met")</f>
        <v>32</v>
      </c>
      <c r="D29">
        <f>COUNTIFS(Clean_Tickets!$G$2:$G$321,A29,Clean_Tickets!$Q$2:$Q$321,"Breached")</f>
        <v>8</v>
      </c>
      <c r="E29" s="14">
        <f t="shared" si="2"/>
        <v>0.8</v>
      </c>
      <c r="F29">
        <f>COUNTIFS(Clean_Tickets!$G$2:$G$321,A29,Clean_Tickets!$R$2:$R$321,"Met")</f>
        <v>29</v>
      </c>
      <c r="G29">
        <f>COUNTIFS(Clean_Tickets!$G$2:$G$321,A29,Clean_Tickets!$R$2:$R$321,"Breached")</f>
        <v>10</v>
      </c>
      <c r="H29">
        <f>COUNTIFS(Clean_Tickets!$G$2:$G$321,A29,Clean_Tickets!$R$2:$R$321,"Pending")</f>
        <v>1</v>
      </c>
      <c r="I29" s="14">
        <f t="shared" si="3"/>
        <v>0.74358974358974361</v>
      </c>
      <c r="J29" s="13">
        <f>IFERROR(SUMIF(Clean_Tickets!$G$2:$G$321,A29,Clean_Tickets!$M$2:$M$321)/COUNTIF(Clean_Tickets!$G$2:$G$321,A29),0)</f>
        <v>1.5432487638914609</v>
      </c>
      <c r="K29" s="13">
        <f>IFERROR(SUMIF(Clean_Tickets!$G$2:$G$321,A29,Clean_Tickets!$N$2:$N$321)/(COUNTIFS(Clean_Tickets!$G$2:$G$321,A29,Clean_Tickets!$E$2:$E$321,"Closed")+COUNTIFS(Clean_Tickets!$G$2:$G$321,A29,Clean_Tickets!$E$2:$E$321,"Resolved")),0)</f>
        <v>11.624126652425799</v>
      </c>
      <c r="L29" s="13">
        <f>IFERROR(SUMIF(Clean_Tickets!$G$2:$G$321,A29,Clean_Tickets!$L$2:$L$321)/COUNTIFS(Clean_Tickets!$G$2:$G$321,A29,Clean_Tickets!$L$2:$L$321,"&gt;0"),0)</f>
        <v>4.2307692307692308</v>
      </c>
      <c r="M29">
        <f>COUNTIFS(Clean_Tickets!$G$2:$G$321,A29,Clean_Tickets!$K$2:$K$321,"Yes")</f>
        <v>3</v>
      </c>
    </row>
    <row r="30" spans="1:16">
      <c r="A30" t="s">
        <v>71</v>
      </c>
      <c r="B30">
        <f>COUNTIF(Clean_Tickets!$G$2:$G$321,A30)</f>
        <v>36</v>
      </c>
      <c r="C30">
        <f>COUNTIFS(Clean_Tickets!$G$2:$G$321,A30,Clean_Tickets!$Q$2:$Q$321,"Met")</f>
        <v>23</v>
      </c>
      <c r="D30">
        <f>COUNTIFS(Clean_Tickets!$G$2:$G$321,A30,Clean_Tickets!$Q$2:$Q$321,"Breached")</f>
        <v>13</v>
      </c>
      <c r="E30" s="14">
        <f t="shared" si="2"/>
        <v>0.63888888888888884</v>
      </c>
      <c r="F30">
        <f>COUNTIFS(Clean_Tickets!$G$2:$G$321,A30,Clean_Tickets!$R$2:$R$321,"Met")</f>
        <v>20</v>
      </c>
      <c r="G30">
        <f>COUNTIFS(Clean_Tickets!$G$2:$G$321,A30,Clean_Tickets!$R$2:$R$321,"Breached")</f>
        <v>15</v>
      </c>
      <c r="H30">
        <f>COUNTIFS(Clean_Tickets!$G$2:$G$321,A30,Clean_Tickets!$R$2:$R$321,"Pending")</f>
        <v>1</v>
      </c>
      <c r="I30" s="14">
        <f t="shared" si="3"/>
        <v>0.5714285714285714</v>
      </c>
      <c r="J30" s="13">
        <f>IFERROR(SUMIF(Clean_Tickets!$G$2:$G$321,A30,Clean_Tickets!$M$2:$M$321)/COUNTIF(Clean_Tickets!$G$2:$G$321,A30),0)</f>
        <v>2.817147600299601</v>
      </c>
      <c r="K30" s="13">
        <f>IFERROR(SUMIF(Clean_Tickets!$G$2:$G$321,A30,Clean_Tickets!$N$2:$N$321)/(COUNTIFS(Clean_Tickets!$G$2:$G$321,A30,Clean_Tickets!$E$2:$E$321,"Closed")+COUNTIFS(Clean_Tickets!$G$2:$G$321,A30,Clean_Tickets!$E$2:$E$321,"Resolved")),0)</f>
        <v>19.518492015866961</v>
      </c>
      <c r="L30" s="13">
        <f>IFERROR(SUMIF(Clean_Tickets!$G$2:$G$321,A30,Clean_Tickets!$L$2:$L$321)/COUNTIFS(Clean_Tickets!$G$2:$G$321,A30,Clean_Tickets!$L$2:$L$321,"&gt;0"),0)</f>
        <v>4.1142857142857139</v>
      </c>
      <c r="M30">
        <f>COUNTIFS(Clean_Tickets!$G$2:$G$321,A30,Clean_Tickets!$K$2:$K$321,"Yes")</f>
        <v>6</v>
      </c>
    </row>
    <row r="31" spans="1:16">
      <c r="A31" t="s">
        <v>76</v>
      </c>
      <c r="B31">
        <f>COUNTIF(Clean_Tickets!$G$2:$G$321,A31)</f>
        <v>35</v>
      </c>
      <c r="C31">
        <f>COUNTIFS(Clean_Tickets!$G$2:$G$321,A31,Clean_Tickets!$Q$2:$Q$321,"Met")</f>
        <v>24</v>
      </c>
      <c r="D31">
        <f>COUNTIFS(Clean_Tickets!$G$2:$G$321,A31,Clean_Tickets!$Q$2:$Q$321,"Breached")</f>
        <v>11</v>
      </c>
      <c r="E31" s="14">
        <f t="shared" si="2"/>
        <v>0.68571428571428572</v>
      </c>
      <c r="F31">
        <f>COUNTIFS(Clean_Tickets!$G$2:$G$321,A31,Clean_Tickets!$R$2:$R$321,"Met")</f>
        <v>16</v>
      </c>
      <c r="G31">
        <f>COUNTIFS(Clean_Tickets!$G$2:$G$321,A31,Clean_Tickets!$R$2:$R$321,"Breached")</f>
        <v>16</v>
      </c>
      <c r="H31">
        <f>COUNTIFS(Clean_Tickets!$G$2:$G$321,A31,Clean_Tickets!$R$2:$R$321,"Pending")</f>
        <v>3</v>
      </c>
      <c r="I31" s="14">
        <f t="shared" si="3"/>
        <v>0.5</v>
      </c>
      <c r="J31" s="13">
        <f>IFERROR(SUMIF(Clean_Tickets!$G$2:$G$321,A31,Clean_Tickets!$M$2:$M$321)/COUNTIF(Clean_Tickets!$G$2:$G$321,A31),0)</f>
        <v>3.2866831984204641</v>
      </c>
      <c r="K31" s="13">
        <f>IFERROR(SUMIF(Clean_Tickets!$G$2:$G$321,A31,Clean_Tickets!$N$2:$N$321)/(COUNTIFS(Clean_Tickets!$G$2:$G$321,A31,Clean_Tickets!$E$2:$E$321,"Closed")+COUNTIFS(Clean_Tickets!$G$2:$G$321,A31,Clean_Tickets!$E$2:$E$321,"Resolved")),0)</f>
        <v>23.949574158004907</v>
      </c>
      <c r="L31" s="13">
        <f>IFERROR(SUMIF(Clean_Tickets!$G$2:$G$321,A31,Clean_Tickets!$L$2:$L$321)/COUNTIFS(Clean_Tickets!$G$2:$G$321,A31,Clean_Tickets!$L$2:$L$321,"&gt;0"),0)</f>
        <v>3.96875</v>
      </c>
      <c r="M31">
        <f>COUNTIFS(Clean_Tickets!$G$2:$G$321,A31,Clean_Tickets!$K$2:$K$321,"Yes")</f>
        <v>2</v>
      </c>
    </row>
    <row r="32" spans="1:16">
      <c r="A32" t="s">
        <v>83</v>
      </c>
      <c r="B32">
        <f>COUNTIF(Clean_Tickets!$G$2:$G$321,A32)</f>
        <v>34</v>
      </c>
      <c r="C32">
        <f>COUNTIFS(Clean_Tickets!$G$2:$G$321,A32,Clean_Tickets!$Q$2:$Q$321,"Met")</f>
        <v>22</v>
      </c>
      <c r="D32">
        <f>COUNTIFS(Clean_Tickets!$G$2:$G$321,A32,Clean_Tickets!$Q$2:$Q$321,"Breached")</f>
        <v>12</v>
      </c>
      <c r="E32" s="14">
        <f t="shared" si="2"/>
        <v>0.6470588235294118</v>
      </c>
      <c r="F32">
        <f>COUNTIFS(Clean_Tickets!$G$2:$G$321,A32,Clean_Tickets!$R$2:$R$321,"Met")</f>
        <v>15</v>
      </c>
      <c r="G32">
        <f>COUNTIFS(Clean_Tickets!$G$2:$G$321,A32,Clean_Tickets!$R$2:$R$321,"Breached")</f>
        <v>17</v>
      </c>
      <c r="H32">
        <f>COUNTIFS(Clean_Tickets!$G$2:$G$321,A32,Clean_Tickets!$R$2:$R$321,"Pending")</f>
        <v>2</v>
      </c>
      <c r="I32" s="14">
        <f t="shared" si="3"/>
        <v>0.46875</v>
      </c>
      <c r="J32" s="13">
        <f>IFERROR(SUMIF(Clean_Tickets!$G$2:$G$321,A32,Clean_Tickets!$M$2:$M$321)/COUNTIF(Clean_Tickets!$G$2:$G$321,A32),0)</f>
        <v>2.0048028349564824</v>
      </c>
      <c r="K32" s="13">
        <f>IFERROR(SUMIF(Clean_Tickets!$G$2:$G$321,A32,Clean_Tickets!$N$2:$N$321)/(COUNTIFS(Clean_Tickets!$G$2:$G$321,A32,Clean_Tickets!$E$2:$E$321,"Closed")+COUNTIFS(Clean_Tickets!$G$2:$G$321,A32,Clean_Tickets!$E$2:$E$321,"Resolved")),0)</f>
        <v>18.919002899299812</v>
      </c>
      <c r="L32" s="13">
        <f>IFERROR(SUMIF(Clean_Tickets!$G$2:$G$321,A32,Clean_Tickets!$L$2:$L$321)/COUNTIFS(Clean_Tickets!$G$2:$G$321,A32,Clean_Tickets!$L$2:$L$321,"&gt;0"),0)</f>
        <v>3.71875</v>
      </c>
      <c r="M32">
        <f>COUNTIFS(Clean_Tickets!$G$2:$G$321,A32,Clean_Tickets!$K$2:$K$321,"Yes")</f>
        <v>6</v>
      </c>
    </row>
    <row r="33" spans="1:13">
      <c r="A33" t="s">
        <v>98</v>
      </c>
      <c r="B33">
        <f>COUNTIF(Clean_Tickets!$G$2:$G$321,A33)</f>
        <v>20</v>
      </c>
      <c r="C33">
        <f>COUNTIFS(Clean_Tickets!$G$2:$G$321,A33,Clean_Tickets!$Q$2:$Q$321,"Met")</f>
        <v>19</v>
      </c>
      <c r="D33">
        <f>COUNTIFS(Clean_Tickets!$G$2:$G$321,A33,Clean_Tickets!$Q$2:$Q$321,"Breached")</f>
        <v>1</v>
      </c>
      <c r="E33" s="14">
        <f t="shared" si="2"/>
        <v>0.95</v>
      </c>
      <c r="F33">
        <f>COUNTIFS(Clean_Tickets!$G$2:$G$321,A33,Clean_Tickets!$R$2:$R$321,"Met")</f>
        <v>18</v>
      </c>
      <c r="G33">
        <f>COUNTIFS(Clean_Tickets!$G$2:$G$321,A33,Clean_Tickets!$R$2:$R$321,"Breached")</f>
        <v>2</v>
      </c>
      <c r="H33">
        <f>COUNTIFS(Clean_Tickets!$G$2:$G$321,A33,Clean_Tickets!$R$2:$R$321,"Pending")</f>
        <v>0</v>
      </c>
      <c r="I33" s="14">
        <f t="shared" si="3"/>
        <v>0.9</v>
      </c>
      <c r="J33" s="13">
        <f>IFERROR(SUMIF(Clean_Tickets!$G$2:$G$321,A33,Clean_Tickets!$M$2:$M$321)/COUNTIF(Clean_Tickets!$G$2:$G$321,A33),0)</f>
        <v>3.0008739861164941</v>
      </c>
      <c r="K33" s="13">
        <f>IFERROR(SUMIF(Clean_Tickets!$G$2:$G$321,A33,Clean_Tickets!$N$2:$N$321)/(COUNTIFS(Clean_Tickets!$G$2:$G$321,A33,Clean_Tickets!$E$2:$E$321,"Closed")+COUNTIFS(Clean_Tickets!$G$2:$G$321,A33,Clean_Tickets!$E$2:$E$321,"Resolved")),0)</f>
        <v>19.807022416687687</v>
      </c>
      <c r="L33" s="13">
        <f>IFERROR(SUMIF(Clean_Tickets!$G$2:$G$321,A33,Clean_Tickets!$L$2:$L$321)/COUNTIFS(Clean_Tickets!$G$2:$G$321,A33,Clean_Tickets!$L$2:$L$321,"&gt;0"),0)</f>
        <v>4.25</v>
      </c>
      <c r="M33">
        <f>COUNTIFS(Clean_Tickets!$G$2:$G$321,A33,Clean_Tickets!$K$2:$K$321,"Yes")</f>
        <v>3</v>
      </c>
    </row>
    <row r="36" spans="1:13">
      <c r="A36" s="2" t="s">
        <v>459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8">
      <c r="A37" s="17" t="s">
        <v>448</v>
      </c>
      <c r="B37" s="17" t="s">
        <v>429</v>
      </c>
      <c r="C37" s="17" t="s">
        <v>449</v>
      </c>
      <c r="D37" s="17" t="s">
        <v>450</v>
      </c>
      <c r="E37" s="17" t="s">
        <v>451</v>
      </c>
      <c r="F37" s="17" t="s">
        <v>452</v>
      </c>
      <c r="G37" s="17" t="s">
        <v>453</v>
      </c>
      <c r="H37" s="17" t="s">
        <v>454</v>
      </c>
      <c r="I37" s="17" t="s">
        <v>455</v>
      </c>
      <c r="J37" s="17" t="s">
        <v>456</v>
      </c>
      <c r="K37" s="17" t="s">
        <v>457</v>
      </c>
      <c r="L37" s="17" t="s">
        <v>443</v>
      </c>
      <c r="M37" s="17" t="s">
        <v>57</v>
      </c>
    </row>
    <row r="38" spans="1:13">
      <c r="A38" t="s">
        <v>88</v>
      </c>
      <c r="B38">
        <f>COUNTIF(Clean_Tickets!$H$2:$H$321,A38)</f>
        <v>50</v>
      </c>
      <c r="C38">
        <f>COUNTIFS(Clean_Tickets!$H$2:$H$321,A38,Clean_Tickets!$Q$2:$Q$321,"Met")</f>
        <v>38</v>
      </c>
      <c r="D38">
        <f>COUNTIFS(Clean_Tickets!$H$2:$H$321,A38,Clean_Tickets!$Q$2:$Q$321,"Breached")</f>
        <v>12</v>
      </c>
      <c r="E38" s="14">
        <f t="shared" ref="E38:E45" si="4">IFERROR(C38/(C38+D38),0)</f>
        <v>0.76</v>
      </c>
      <c r="F38">
        <f>COUNTIFS(Clean_Tickets!$H$2:$H$321,A38,Clean_Tickets!$R$2:$R$321,"Met")</f>
        <v>44</v>
      </c>
      <c r="G38">
        <f>COUNTIFS(Clean_Tickets!$H$2:$H$321,A38,Clean_Tickets!$R$2:$R$321,"Breached")</f>
        <v>5</v>
      </c>
      <c r="H38">
        <f>COUNTIFS(Clean_Tickets!$H$2:$H$321,A38,Clean_Tickets!$R$2:$R$321,"Pending")</f>
        <v>1</v>
      </c>
      <c r="I38" s="14">
        <f t="shared" ref="I38:I45" si="5">IFERROR(F38/(F38+G38),0)</f>
        <v>0.89795918367346939</v>
      </c>
      <c r="J38" s="13">
        <f>IFERROR(SUMIF(Clean_Tickets!$H$2:$H$321,A38,Clean_Tickets!$M$2:$M$321)/COUNTIF(Clean_Tickets!$H$2:$H$321,A38),0)</f>
        <v>1.9244818444421981</v>
      </c>
      <c r="K38" s="13">
        <f>IFERROR(SUMIF(Clean_Tickets!$H$2:$H$321,A38,Clean_Tickets!$N$2:$N$321)/(COUNTIFS(Clean_Tickets!$H$2:$H$321,A38,Clean_Tickets!$E$2:$E$321,"Closed")+COUNTIFS(Clean_Tickets!$H$2:$H$321,A38,Clean_Tickets!$E$2:$E$321,"Resolved")),0)</f>
        <v>9.8149537811690131</v>
      </c>
      <c r="L38" s="13">
        <f>IFERROR(SUMIF(Clean_Tickets!$H$2:$H$321,A38,Clean_Tickets!$L$2:$L$321)/COUNTIFS(Clean_Tickets!$H$2:$H$321,A38,Clean_Tickets!$L$2:$L$321,"&gt;0"),0)</f>
        <v>4.1632653061224492</v>
      </c>
      <c r="M38">
        <f>COUNTIFS(Clean_Tickets!$H$2:$H$321,A38,Clean_Tickets!$K$2:$K$321,"Yes")</f>
        <v>7</v>
      </c>
    </row>
    <row r="39" spans="1:13">
      <c r="A39" t="s">
        <v>84</v>
      </c>
      <c r="B39">
        <f>COUNTIF(Clean_Tickets!$H$2:$H$321,A39)</f>
        <v>44</v>
      </c>
      <c r="C39">
        <f>COUNTIFS(Clean_Tickets!$H$2:$H$321,A39,Clean_Tickets!$Q$2:$Q$321,"Met")</f>
        <v>34</v>
      </c>
      <c r="D39">
        <f>COUNTIFS(Clean_Tickets!$H$2:$H$321,A39,Clean_Tickets!$Q$2:$Q$321,"Breached")</f>
        <v>10</v>
      </c>
      <c r="E39" s="14">
        <f t="shared" si="4"/>
        <v>0.77272727272727271</v>
      </c>
      <c r="F39">
        <f>COUNTIFS(Clean_Tickets!$H$2:$H$321,A39,Clean_Tickets!$R$2:$R$321,"Met")</f>
        <v>28</v>
      </c>
      <c r="G39">
        <f>COUNTIFS(Clean_Tickets!$H$2:$H$321,A39,Clean_Tickets!$R$2:$R$321,"Breached")</f>
        <v>14</v>
      </c>
      <c r="H39">
        <f>COUNTIFS(Clean_Tickets!$H$2:$H$321,A39,Clean_Tickets!$R$2:$R$321,"Pending")</f>
        <v>2</v>
      </c>
      <c r="I39" s="14">
        <f t="shared" si="5"/>
        <v>0.66666666666666663</v>
      </c>
      <c r="J39" s="13">
        <f>IFERROR(SUMIF(Clean_Tickets!$H$2:$H$321,A39,Clean_Tickets!$M$2:$M$321)/COUNTIF(Clean_Tickets!$H$2:$H$321,A39),0)</f>
        <v>2.5184562563292938</v>
      </c>
      <c r="K39" s="13">
        <f>IFERROR(SUMIF(Clean_Tickets!$H$2:$H$321,A39,Clean_Tickets!$N$2:$N$321)/(COUNTIFS(Clean_Tickets!$H$2:$H$321,A39,Clean_Tickets!$E$2:$E$321,"Closed")+COUNTIFS(Clean_Tickets!$H$2:$H$321,A39,Clean_Tickets!$E$2:$E$321,"Resolved")),0)</f>
        <v>15.826175773815651</v>
      </c>
      <c r="L39" s="13">
        <f>IFERROR(SUMIF(Clean_Tickets!$H$2:$H$321,A39,Clean_Tickets!$L$2:$L$321)/COUNTIFS(Clean_Tickets!$H$2:$H$321,A39,Clean_Tickets!$L$2:$L$321,"&gt;0"),0)</f>
        <v>4.1190476190476186</v>
      </c>
      <c r="M39">
        <f>COUNTIFS(Clean_Tickets!$H$2:$H$321,A39,Clean_Tickets!$K$2:$K$321,"Yes")</f>
        <v>9</v>
      </c>
    </row>
    <row r="40" spans="1:13">
      <c r="A40" t="s">
        <v>77</v>
      </c>
      <c r="B40">
        <f>COUNTIF(Clean_Tickets!$H$2:$H$321,A40)</f>
        <v>43</v>
      </c>
      <c r="C40">
        <f>COUNTIFS(Clean_Tickets!$H$2:$H$321,A40,Clean_Tickets!$Q$2:$Q$321,"Met")</f>
        <v>30</v>
      </c>
      <c r="D40">
        <f>COUNTIFS(Clean_Tickets!$H$2:$H$321,A40,Clean_Tickets!$Q$2:$Q$321,"Breached")</f>
        <v>13</v>
      </c>
      <c r="E40" s="14">
        <f t="shared" si="4"/>
        <v>0.69767441860465118</v>
      </c>
      <c r="F40">
        <f>COUNTIFS(Clean_Tickets!$H$2:$H$321,A40,Clean_Tickets!$R$2:$R$321,"Met")</f>
        <v>30</v>
      </c>
      <c r="G40">
        <f>COUNTIFS(Clean_Tickets!$H$2:$H$321,A40,Clean_Tickets!$R$2:$R$321,"Breached")</f>
        <v>11</v>
      </c>
      <c r="H40">
        <f>COUNTIFS(Clean_Tickets!$H$2:$H$321,A40,Clean_Tickets!$R$2:$R$321,"Pending")</f>
        <v>2</v>
      </c>
      <c r="I40" s="14">
        <f t="shared" si="5"/>
        <v>0.73170731707317072</v>
      </c>
      <c r="J40" s="13">
        <f>IFERROR(SUMIF(Clean_Tickets!$H$2:$H$321,A40,Clean_Tickets!$M$2:$M$321)/COUNTIF(Clean_Tickets!$H$2:$H$321,A40),0)</f>
        <v>2.7237098643239479</v>
      </c>
      <c r="K40" s="13">
        <f>IFERROR(SUMIF(Clean_Tickets!$H$2:$H$321,A40,Clean_Tickets!$N$2:$N$321)/(COUNTIFS(Clean_Tickets!$H$2:$H$321,A40,Clean_Tickets!$E$2:$E$321,"Closed")+COUNTIFS(Clean_Tickets!$H$2:$H$321,A40,Clean_Tickets!$E$2:$E$321,"Resolved")),0)</f>
        <v>18.142327967468969</v>
      </c>
      <c r="L40" s="13">
        <f>IFERROR(SUMIF(Clean_Tickets!$H$2:$H$321,A40,Clean_Tickets!$L$2:$L$321)/COUNTIFS(Clean_Tickets!$H$2:$H$321,A40,Clean_Tickets!$L$2:$L$321,"&gt;0"),0)</f>
        <v>4.1463414634146343</v>
      </c>
      <c r="M40">
        <f>COUNTIFS(Clean_Tickets!$H$2:$H$321,A40,Clean_Tickets!$K$2:$K$321,"Yes")</f>
        <v>5</v>
      </c>
    </row>
    <row r="41" spans="1:13">
      <c r="A41" t="s">
        <v>109</v>
      </c>
      <c r="B41">
        <f>COUNTIF(Clean_Tickets!$H$2:$H$321,A41)</f>
        <v>40</v>
      </c>
      <c r="C41">
        <f>COUNTIFS(Clean_Tickets!$H$2:$H$321,A41,Clean_Tickets!$Q$2:$Q$321,"Met")</f>
        <v>31</v>
      </c>
      <c r="D41">
        <f>COUNTIFS(Clean_Tickets!$H$2:$H$321,A41,Clean_Tickets!$Q$2:$Q$321,"Breached")</f>
        <v>9</v>
      </c>
      <c r="E41" s="14">
        <f t="shared" si="4"/>
        <v>0.77500000000000002</v>
      </c>
      <c r="F41">
        <f>COUNTIFS(Clean_Tickets!$H$2:$H$321,A41,Clean_Tickets!$R$2:$R$321,"Met")</f>
        <v>24</v>
      </c>
      <c r="G41">
        <f>COUNTIFS(Clean_Tickets!$H$2:$H$321,A41,Clean_Tickets!$R$2:$R$321,"Breached")</f>
        <v>14</v>
      </c>
      <c r="H41">
        <f>COUNTIFS(Clean_Tickets!$H$2:$H$321,A41,Clean_Tickets!$R$2:$R$321,"Pending")</f>
        <v>2</v>
      </c>
      <c r="I41" s="14">
        <f t="shared" si="5"/>
        <v>0.63157894736842102</v>
      </c>
      <c r="J41" s="13">
        <f>IFERROR(SUMIF(Clean_Tickets!$H$2:$H$321,A41,Clean_Tickets!$M$2:$M$321)/COUNTIF(Clean_Tickets!$H$2:$H$321,A41),0)</f>
        <v>2.8690149652960826</v>
      </c>
      <c r="K41" s="13">
        <f>IFERROR(SUMIF(Clean_Tickets!$H$2:$H$321,A41,Clean_Tickets!$N$2:$N$321)/(COUNTIFS(Clean_Tickets!$H$2:$H$321,A41,Clean_Tickets!$E$2:$E$321,"Closed")+COUNTIFS(Clean_Tickets!$H$2:$H$321,A41,Clean_Tickets!$E$2:$E$321,"Resolved")),0)</f>
        <v>23.639628267557494</v>
      </c>
      <c r="L41" s="13">
        <f>IFERROR(SUMIF(Clean_Tickets!$H$2:$H$321,A41,Clean_Tickets!$L$2:$L$321)/COUNTIFS(Clean_Tickets!$H$2:$H$321,A41,Clean_Tickets!$L$2:$L$321,"&gt;0"),0)</f>
        <v>3.8421052631578947</v>
      </c>
      <c r="M41">
        <f>COUNTIFS(Clean_Tickets!$H$2:$H$321,A41,Clean_Tickets!$K$2:$K$321,"Yes")</f>
        <v>0</v>
      </c>
    </row>
    <row r="42" spans="1:13">
      <c r="A42" t="s">
        <v>72</v>
      </c>
      <c r="B42">
        <f>COUNTIF(Clean_Tickets!$H$2:$H$321,A42)</f>
        <v>38</v>
      </c>
      <c r="C42">
        <f>COUNTIFS(Clean_Tickets!$H$2:$H$321,A42,Clean_Tickets!$Q$2:$Q$321,"Met")</f>
        <v>30</v>
      </c>
      <c r="D42">
        <f>COUNTIFS(Clean_Tickets!$H$2:$H$321,A42,Clean_Tickets!$Q$2:$Q$321,"Breached")</f>
        <v>8</v>
      </c>
      <c r="E42" s="14">
        <f t="shared" si="4"/>
        <v>0.78947368421052633</v>
      </c>
      <c r="F42">
        <f>COUNTIFS(Clean_Tickets!$H$2:$H$321,A42,Clean_Tickets!$R$2:$R$321,"Met")</f>
        <v>23</v>
      </c>
      <c r="G42">
        <f>COUNTIFS(Clean_Tickets!$H$2:$H$321,A42,Clean_Tickets!$R$2:$R$321,"Breached")</f>
        <v>10</v>
      </c>
      <c r="H42">
        <f>COUNTIFS(Clean_Tickets!$H$2:$H$321,A42,Clean_Tickets!$R$2:$R$321,"Pending")</f>
        <v>5</v>
      </c>
      <c r="I42" s="14">
        <f t="shared" si="5"/>
        <v>0.69696969696969702</v>
      </c>
      <c r="J42" s="13">
        <f>IFERROR(SUMIF(Clean_Tickets!$H$2:$H$321,A42,Clean_Tickets!$M$2:$M$321)/COUNTIF(Clean_Tickets!$H$2:$H$321,A42),0)</f>
        <v>2.1607620760133663</v>
      </c>
      <c r="K42" s="13">
        <f>IFERROR(SUMIF(Clean_Tickets!$H$2:$H$321,A42,Clean_Tickets!$N$2:$N$321)/(COUNTIFS(Clean_Tickets!$H$2:$H$321,A42,Clean_Tickets!$E$2:$E$321,"Closed")+COUNTIFS(Clean_Tickets!$H$2:$H$321,A42,Clean_Tickets!$E$2:$E$321,"Resolved")),0)</f>
        <v>13.609957803035451</v>
      </c>
      <c r="L42" s="13">
        <f>IFERROR(SUMIF(Clean_Tickets!$H$2:$H$321,A42,Clean_Tickets!$L$2:$L$321)/COUNTIFS(Clean_Tickets!$H$2:$H$321,A42,Clean_Tickets!$L$2:$L$321,"&gt;0"),0)</f>
        <v>4.1818181818181817</v>
      </c>
      <c r="M42">
        <f>COUNTIFS(Clean_Tickets!$H$2:$H$321,A42,Clean_Tickets!$K$2:$K$321,"Yes")</f>
        <v>2</v>
      </c>
    </row>
    <row r="43" spans="1:13">
      <c r="A43" t="s">
        <v>66</v>
      </c>
      <c r="B43">
        <f>COUNTIF(Clean_Tickets!$H$2:$H$321,A43)</f>
        <v>37</v>
      </c>
      <c r="C43">
        <f>COUNTIFS(Clean_Tickets!$H$2:$H$321,A43,Clean_Tickets!$Q$2:$Q$321,"Met")</f>
        <v>26</v>
      </c>
      <c r="D43">
        <f>COUNTIFS(Clean_Tickets!$H$2:$H$321,A43,Clean_Tickets!$Q$2:$Q$321,"Breached")</f>
        <v>11</v>
      </c>
      <c r="E43" s="14">
        <f t="shared" si="4"/>
        <v>0.70270270270270274</v>
      </c>
      <c r="F43">
        <f>COUNTIFS(Clean_Tickets!$H$2:$H$321,A43,Clean_Tickets!$R$2:$R$321,"Met")</f>
        <v>21</v>
      </c>
      <c r="G43">
        <f>COUNTIFS(Clean_Tickets!$H$2:$H$321,A43,Clean_Tickets!$R$2:$R$321,"Breached")</f>
        <v>14</v>
      </c>
      <c r="H43">
        <f>COUNTIFS(Clean_Tickets!$H$2:$H$321,A43,Clean_Tickets!$R$2:$R$321,"Pending")</f>
        <v>2</v>
      </c>
      <c r="I43" s="14">
        <f t="shared" si="5"/>
        <v>0.6</v>
      </c>
      <c r="J43" s="13">
        <f>IFERROR(SUMIF(Clean_Tickets!$H$2:$H$321,A43,Clean_Tickets!$M$2:$M$321)/COUNTIF(Clean_Tickets!$H$2:$H$321,A43),0)</f>
        <v>3.7213109834827609</v>
      </c>
      <c r="K43" s="13">
        <f>IFERROR(SUMIF(Clean_Tickets!$H$2:$H$321,A43,Clean_Tickets!$N$2:$N$321)/(COUNTIFS(Clean_Tickets!$H$2:$H$321,A43,Clean_Tickets!$E$2:$E$321,"Closed")+COUNTIFS(Clean_Tickets!$H$2:$H$321,A43,Clean_Tickets!$E$2:$E$321,"Resolved")),0)</f>
        <v>26.097593873014141</v>
      </c>
      <c r="L43" s="13">
        <f>IFERROR(SUMIF(Clean_Tickets!$H$2:$H$321,A43,Clean_Tickets!$L$2:$L$321)/COUNTIFS(Clean_Tickets!$H$2:$H$321,A43,Clean_Tickets!$L$2:$L$321,"&gt;0"),0)</f>
        <v>4.1428571428571432</v>
      </c>
      <c r="M43">
        <f>COUNTIFS(Clean_Tickets!$H$2:$H$321,A43,Clean_Tickets!$K$2:$K$321,"Yes")</f>
        <v>2</v>
      </c>
    </row>
    <row r="44" spans="1:13">
      <c r="A44" t="s">
        <v>80</v>
      </c>
      <c r="B44">
        <f>COUNTIF(Clean_Tickets!$H$2:$H$321,A44)</f>
        <v>37</v>
      </c>
      <c r="C44">
        <f>COUNTIFS(Clean_Tickets!$H$2:$H$321,A44,Clean_Tickets!$Q$2:$Q$321,"Met")</f>
        <v>30</v>
      </c>
      <c r="D44">
        <f>COUNTIFS(Clean_Tickets!$H$2:$H$321,A44,Clean_Tickets!$Q$2:$Q$321,"Breached")</f>
        <v>7</v>
      </c>
      <c r="E44" s="14">
        <f t="shared" si="4"/>
        <v>0.81081081081081086</v>
      </c>
      <c r="F44">
        <f>COUNTIFS(Clean_Tickets!$H$2:$H$321,A44,Clean_Tickets!$R$2:$R$321,"Met")</f>
        <v>25</v>
      </c>
      <c r="G44">
        <f>COUNTIFS(Clean_Tickets!$H$2:$H$321,A44,Clean_Tickets!$R$2:$R$321,"Breached")</f>
        <v>10</v>
      </c>
      <c r="H44">
        <f>COUNTIFS(Clean_Tickets!$H$2:$H$321,A44,Clean_Tickets!$R$2:$R$321,"Pending")</f>
        <v>2</v>
      </c>
      <c r="I44" s="14">
        <f t="shared" si="5"/>
        <v>0.7142857142857143</v>
      </c>
      <c r="J44" s="13">
        <f>IFERROR(SUMIF(Clean_Tickets!$H$2:$H$321,A44,Clean_Tickets!$M$2:$M$321)/COUNTIF(Clean_Tickets!$H$2:$H$321,A44),0)</f>
        <v>2.6554536636796073</v>
      </c>
      <c r="K44" s="13">
        <f>IFERROR(SUMIF(Clean_Tickets!$H$2:$H$321,A44,Clean_Tickets!$N$2:$N$321)/(COUNTIFS(Clean_Tickets!$H$2:$H$321,A44,Clean_Tickets!$E$2:$E$321,"Closed")+COUNTIFS(Clean_Tickets!$H$2:$H$321,A44,Clean_Tickets!$E$2:$E$321,"Resolved")),0)</f>
        <v>22.037193277785889</v>
      </c>
      <c r="L44" s="13">
        <f>IFERROR(SUMIF(Clean_Tickets!$H$2:$H$321,A44,Clean_Tickets!$L$2:$L$321)/COUNTIFS(Clean_Tickets!$H$2:$H$321,A44,Clean_Tickets!$L$2:$L$321,"&gt;0"),0)</f>
        <v>4.2571428571428571</v>
      </c>
      <c r="M44">
        <f>COUNTIFS(Clean_Tickets!$H$2:$H$321,A44,Clean_Tickets!$K$2:$K$321,"Yes")</f>
        <v>6</v>
      </c>
    </row>
    <row r="45" spans="1:13">
      <c r="A45" t="s">
        <v>106</v>
      </c>
      <c r="B45">
        <f>COUNTIF(Clean_Tickets!$H$2:$H$321,A45)</f>
        <v>31</v>
      </c>
      <c r="C45">
        <f>COUNTIFS(Clean_Tickets!$H$2:$H$321,A45,Clean_Tickets!$Q$2:$Q$321,"Met")</f>
        <v>21</v>
      </c>
      <c r="D45">
        <f>COUNTIFS(Clean_Tickets!$H$2:$H$321,A45,Clean_Tickets!$Q$2:$Q$321,"Breached")</f>
        <v>10</v>
      </c>
      <c r="E45" s="14">
        <f t="shared" si="4"/>
        <v>0.67741935483870963</v>
      </c>
      <c r="F45">
        <f>COUNTIFS(Clean_Tickets!$H$2:$H$321,A45,Clean_Tickets!$R$2:$R$321,"Met")</f>
        <v>18</v>
      </c>
      <c r="G45">
        <f>COUNTIFS(Clean_Tickets!$H$2:$H$321,A45,Clean_Tickets!$R$2:$R$321,"Breached")</f>
        <v>13</v>
      </c>
      <c r="H45">
        <f>COUNTIFS(Clean_Tickets!$H$2:$H$321,A45,Clean_Tickets!$R$2:$R$321,"Pending")</f>
        <v>0</v>
      </c>
      <c r="I45" s="14">
        <f t="shared" si="5"/>
        <v>0.58064516129032262</v>
      </c>
      <c r="J45" s="13">
        <f>IFERROR(SUMIF(Clean_Tickets!$H$2:$H$321,A45,Clean_Tickets!$M$2:$M$321)/COUNTIF(Clean_Tickets!$H$2:$H$321,A45),0)</f>
        <v>2.8307193369199073</v>
      </c>
      <c r="K45" s="13">
        <f>IFERROR(SUMIF(Clean_Tickets!$H$2:$H$321,A45,Clean_Tickets!$N$2:$N$321)/(COUNTIFS(Clean_Tickets!$H$2:$H$321,A45,Clean_Tickets!$E$2:$E$321,"Closed")+COUNTIFS(Clean_Tickets!$H$2:$H$321,A45,Clean_Tickets!$E$2:$E$321,"Resolved")),0)</f>
        <v>18.819595206091407</v>
      </c>
      <c r="L45" s="13">
        <f>IFERROR(SUMIF(Clean_Tickets!$H$2:$H$321,A45,Clean_Tickets!$L$2:$L$321)/COUNTIFS(Clean_Tickets!$H$2:$H$321,A45,Clean_Tickets!$L$2:$L$321,"&gt;0"),0)</f>
        <v>4.032258064516129</v>
      </c>
      <c r="M45">
        <f>COUNTIFS(Clean_Tickets!$H$2:$H$321,A45,Clean_Tickets!$K$2:$K$321,"Yes")</f>
        <v>5</v>
      </c>
    </row>
    <row r="48" spans="1:13">
      <c r="A48" s="2" t="s">
        <v>460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8">
      <c r="A49" s="17" t="s">
        <v>448</v>
      </c>
      <c r="B49" s="17" t="s">
        <v>429</v>
      </c>
      <c r="C49" s="17" t="s">
        <v>449</v>
      </c>
      <c r="D49" s="17" t="s">
        <v>450</v>
      </c>
      <c r="E49" s="17" t="s">
        <v>451</v>
      </c>
      <c r="F49" s="17" t="s">
        <v>452</v>
      </c>
      <c r="G49" s="17" t="s">
        <v>453</v>
      </c>
      <c r="H49" s="17" t="s">
        <v>454</v>
      </c>
      <c r="I49" s="17" t="s">
        <v>455</v>
      </c>
      <c r="J49" s="17" t="s">
        <v>456</v>
      </c>
      <c r="K49" s="17" t="s">
        <v>457</v>
      </c>
      <c r="L49" s="17" t="s">
        <v>443</v>
      </c>
      <c r="M49" s="17" t="s">
        <v>57</v>
      </c>
    </row>
    <row r="50" spans="1:13">
      <c r="A50" t="s">
        <v>14</v>
      </c>
      <c r="B50">
        <f>COUNTIF(Clean_Tickets!$T$2:$T$321,A50)</f>
        <v>118</v>
      </c>
      <c r="C50">
        <f>COUNTIFS(Clean_Tickets!$T$2:$T$321,A50,Clean_Tickets!$Q$2:$Q$321,"Met")</f>
        <v>88</v>
      </c>
      <c r="D50">
        <f>COUNTIFS(Clean_Tickets!$T$2:$T$321,A50,Clean_Tickets!$Q$2:$Q$321,"Breached")</f>
        <v>30</v>
      </c>
      <c r="E50" s="14">
        <f>IFERROR(C50/(C50+D50),0)</f>
        <v>0.74576271186440679</v>
      </c>
      <c r="F50">
        <f>COUNTIFS(Clean_Tickets!$T$2:$T$321,A50,Clean_Tickets!$R$2:$R$321,"Met")</f>
        <v>80</v>
      </c>
      <c r="G50">
        <f>COUNTIFS(Clean_Tickets!$T$2:$T$321,A50,Clean_Tickets!$R$2:$R$321,"Breached")</f>
        <v>30</v>
      </c>
      <c r="H50">
        <f>COUNTIFS(Clean_Tickets!$T$2:$T$321,A50,Clean_Tickets!$R$2:$R$321,"Pending")</f>
        <v>8</v>
      </c>
      <c r="I50" s="14">
        <f>IFERROR(F50/(F50+G50),0)</f>
        <v>0.72727272727272729</v>
      </c>
      <c r="J50" s="13">
        <f>IFERROR(SUMIF(Clean_Tickets!$T$2:$T$321,A50,Clean_Tickets!$M$2:$M$321)/COUNTIF(Clean_Tickets!$T$2:$T$321,A50),0)</f>
        <v>3.7642207603647089</v>
      </c>
      <c r="K50" s="13">
        <f>IFERROR(SUMIF(Clean_Tickets!$T$2:$T$321,A50,Clean_Tickets!$N$2:$N$321)/(COUNTIFS(Clean_Tickets!$T$2:$T$321,A50,Clean_Tickets!$E$2:$E$321,"Closed")+COUNTIFS(Clean_Tickets!$T$2:$T$321,A50,Clean_Tickets!$E$2:$E$321,"Resolved")),0)</f>
        <v>24.547971661613769</v>
      </c>
      <c r="L50" s="13">
        <f>IFERROR(SUMIF(Clean_Tickets!$T$2:$T$321,A50,Clean_Tickets!$L$2:$L$321)/COUNTIFS(Clean_Tickets!$T$2:$T$321,A50,Clean_Tickets!$L$2:$L$321,"&gt;0"),0)</f>
        <v>4.163636363636364</v>
      </c>
      <c r="M50">
        <f>COUNTIFS(Clean_Tickets!$T$2:$T$321,A50,Clean_Tickets!$K$2:$K$321,"Yes")</f>
        <v>12</v>
      </c>
    </row>
    <row r="51" spans="1:13">
      <c r="A51" t="s">
        <v>33</v>
      </c>
      <c r="B51">
        <f>COUNTIF(Clean_Tickets!$T$2:$T$321,A51)</f>
        <v>74</v>
      </c>
      <c r="C51">
        <f>COUNTIFS(Clean_Tickets!$T$2:$T$321,A51,Clean_Tickets!$Q$2:$Q$321,"Met")</f>
        <v>54</v>
      </c>
      <c r="D51">
        <f>COUNTIFS(Clean_Tickets!$T$2:$T$321,A51,Clean_Tickets!$Q$2:$Q$321,"Breached")</f>
        <v>20</v>
      </c>
      <c r="E51" s="14">
        <f>IFERROR(C51/(C51+D51),0)</f>
        <v>0.72972972972972971</v>
      </c>
      <c r="F51">
        <f>COUNTIFS(Clean_Tickets!$T$2:$T$321,A51,Clean_Tickets!$R$2:$R$321,"Met")</f>
        <v>44</v>
      </c>
      <c r="G51">
        <f>COUNTIFS(Clean_Tickets!$T$2:$T$321,A51,Clean_Tickets!$R$2:$R$321,"Breached")</f>
        <v>27</v>
      </c>
      <c r="H51">
        <f>COUNTIFS(Clean_Tickets!$T$2:$T$321,A51,Clean_Tickets!$R$2:$R$321,"Pending")</f>
        <v>3</v>
      </c>
      <c r="I51" s="14">
        <f>IFERROR(F51/(F51+G51),0)</f>
        <v>0.61971830985915488</v>
      </c>
      <c r="J51" s="13">
        <f>IFERROR(SUMIF(Clean_Tickets!$T$2:$T$321,A51,Clean_Tickets!$M$2:$M$321)/COUNTIF(Clean_Tickets!$T$2:$T$321,A51),0)</f>
        <v>1.7553141478943084</v>
      </c>
      <c r="K51" s="13">
        <f>IFERROR(SUMIF(Clean_Tickets!$T$2:$T$321,A51,Clean_Tickets!$N$2:$N$321)/(COUNTIFS(Clean_Tickets!$T$2:$T$321,A51,Clean_Tickets!$E$2:$E$321,"Closed")+COUNTIFS(Clean_Tickets!$T$2:$T$321,A51,Clean_Tickets!$E$2:$E$321,"Resolved")),0)</f>
        <v>14.911958200312679</v>
      </c>
      <c r="L51" s="13">
        <f>IFERROR(SUMIF(Clean_Tickets!$T$2:$T$321,A51,Clean_Tickets!$L$2:$L$321)/COUNTIFS(Clean_Tickets!$T$2:$T$321,A51,Clean_Tickets!$L$2:$L$321,"&gt;0"),0)</f>
        <v>4</v>
      </c>
      <c r="M51">
        <f>COUNTIFS(Clean_Tickets!$T$2:$T$321,A51,Clean_Tickets!$K$2:$K$321,"Yes")</f>
        <v>9</v>
      </c>
    </row>
    <row r="52" spans="1:13">
      <c r="A52" t="s">
        <v>27</v>
      </c>
      <c r="B52">
        <f>COUNTIF(Clean_Tickets!$T$2:$T$321,A52)</f>
        <v>71</v>
      </c>
      <c r="C52">
        <f>COUNTIFS(Clean_Tickets!$T$2:$T$321,A52,Clean_Tickets!$Q$2:$Q$321,"Met")</f>
        <v>47</v>
      </c>
      <c r="D52">
        <f>COUNTIFS(Clean_Tickets!$T$2:$T$321,A52,Clean_Tickets!$Q$2:$Q$321,"Breached")</f>
        <v>24</v>
      </c>
      <c r="E52" s="14">
        <f>IFERROR(C52/(C52+D52),0)</f>
        <v>0.6619718309859155</v>
      </c>
      <c r="F52">
        <f>COUNTIFS(Clean_Tickets!$T$2:$T$321,A52,Clean_Tickets!$R$2:$R$321,"Met")</f>
        <v>36</v>
      </c>
      <c r="G52">
        <f>COUNTIFS(Clean_Tickets!$T$2:$T$321,A52,Clean_Tickets!$R$2:$R$321,"Breached")</f>
        <v>31</v>
      </c>
      <c r="H52">
        <f>COUNTIFS(Clean_Tickets!$T$2:$T$321,A52,Clean_Tickets!$R$2:$R$321,"Pending")</f>
        <v>4</v>
      </c>
      <c r="I52" s="14">
        <f>IFERROR(F52/(F52+G52),0)</f>
        <v>0.53731343283582089</v>
      </c>
      <c r="J52" s="13">
        <f>IFERROR(SUMIF(Clean_Tickets!$T$2:$T$321,A52,Clean_Tickets!$M$2:$M$321)/COUNTIF(Clean_Tickets!$T$2:$T$321,A52),0)</f>
        <v>3.0486088106408715</v>
      </c>
      <c r="K52" s="13">
        <f>IFERROR(SUMIF(Clean_Tickets!$T$2:$T$321,A52,Clean_Tickets!$N$2:$N$321)/(COUNTIFS(Clean_Tickets!$T$2:$T$321,A52,Clean_Tickets!$E$2:$E$321,"Closed")+COUNTIFS(Clean_Tickets!$T$2:$T$321,A52,Clean_Tickets!$E$2:$E$321,"Resolved")),0)</f>
        <v>21.634829755395533</v>
      </c>
      <c r="L52" s="13">
        <f>IFERROR(SUMIF(Clean_Tickets!$T$2:$T$321,A52,Clean_Tickets!$L$2:$L$321)/COUNTIFS(Clean_Tickets!$T$2:$T$321,A52,Clean_Tickets!$L$2:$L$321,"&gt;0"),0)</f>
        <v>4.044776119402985</v>
      </c>
      <c r="M52">
        <f>COUNTIFS(Clean_Tickets!$T$2:$T$321,A52,Clean_Tickets!$K$2:$K$321,"Yes")</f>
        <v>8</v>
      </c>
    </row>
    <row r="53" spans="1:13">
      <c r="A53" t="s">
        <v>21</v>
      </c>
      <c r="B53">
        <f>COUNTIF(Clean_Tickets!$T$2:$T$321,A53)</f>
        <v>57</v>
      </c>
      <c r="C53">
        <f>COUNTIFS(Clean_Tickets!$T$2:$T$321,A53,Clean_Tickets!$Q$2:$Q$321,"Met")</f>
        <v>51</v>
      </c>
      <c r="D53">
        <f>COUNTIFS(Clean_Tickets!$T$2:$T$321,A53,Clean_Tickets!$Q$2:$Q$321,"Breached")</f>
        <v>6</v>
      </c>
      <c r="E53" s="14">
        <f>IFERROR(C53/(C53+D53),0)</f>
        <v>0.89473684210526316</v>
      </c>
      <c r="F53">
        <f>COUNTIFS(Clean_Tickets!$T$2:$T$321,A53,Clean_Tickets!$R$2:$R$321,"Met")</f>
        <v>53</v>
      </c>
      <c r="G53">
        <f>COUNTIFS(Clean_Tickets!$T$2:$T$321,A53,Clean_Tickets!$R$2:$R$321,"Breached")</f>
        <v>3</v>
      </c>
      <c r="H53">
        <f>COUNTIFS(Clean_Tickets!$T$2:$T$321,A53,Clean_Tickets!$R$2:$R$321,"Pending")</f>
        <v>1</v>
      </c>
      <c r="I53" s="14">
        <f>IFERROR(F53/(F53+G53),0)</f>
        <v>0.9464285714285714</v>
      </c>
      <c r="J53" s="13">
        <f>IFERROR(SUMIF(Clean_Tickets!$T$2:$T$321,A53,Clean_Tickets!$M$2:$M$321)/COUNTIF(Clean_Tickets!$T$2:$T$321,A53),0)</f>
        <v>0.95079505848575774</v>
      </c>
      <c r="K53" s="13">
        <f>IFERROR(SUMIF(Clean_Tickets!$T$2:$T$321,A53,Clean_Tickets!$N$2:$N$321)/(COUNTIFS(Clean_Tickets!$T$2:$T$321,A53,Clean_Tickets!$E$2:$E$321,"Closed")+COUNTIFS(Clean_Tickets!$T$2:$T$321,A53,Clean_Tickets!$E$2:$E$321,"Resolved")),0)</f>
        <v>5.2940631994060823</v>
      </c>
      <c r="L53" s="13">
        <f>IFERROR(SUMIF(Clean_Tickets!$T$2:$T$321,A53,Clean_Tickets!$L$2:$L$321)/COUNTIFS(Clean_Tickets!$T$2:$T$321,A53,Clean_Tickets!$L$2:$L$321,"&gt;0"),0)</f>
        <v>4.2321428571428568</v>
      </c>
      <c r="M53">
        <f>COUNTIFS(Clean_Tickets!$T$2:$T$321,A53,Clean_Tickets!$K$2:$K$321,"Yes")</f>
        <v>7</v>
      </c>
    </row>
    <row r="56" spans="1:13">
      <c r="A56" s="2" t="s">
        <v>461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8">
      <c r="A57" s="17" t="s">
        <v>448</v>
      </c>
      <c r="B57" s="17" t="s">
        <v>429</v>
      </c>
      <c r="C57" s="17" t="s">
        <v>449</v>
      </c>
      <c r="D57" s="17" t="s">
        <v>450</v>
      </c>
      <c r="E57" s="17" t="s">
        <v>451</v>
      </c>
      <c r="F57" s="17" t="s">
        <v>452</v>
      </c>
      <c r="G57" s="17" t="s">
        <v>453</v>
      </c>
      <c r="H57" s="17" t="s">
        <v>454</v>
      </c>
      <c r="I57" s="17" t="s">
        <v>455</v>
      </c>
      <c r="J57" s="17" t="s">
        <v>456</v>
      </c>
      <c r="K57" s="17" t="s">
        <v>457</v>
      </c>
      <c r="L57" s="17" t="s">
        <v>443</v>
      </c>
      <c r="M57" s="17" t="s">
        <v>57</v>
      </c>
    </row>
    <row r="58" spans="1:13">
      <c r="A58" t="s">
        <v>73</v>
      </c>
      <c r="B58">
        <f>COUNTIF(Clean_Tickets!$I$2:$I$321,A58)</f>
        <v>150</v>
      </c>
      <c r="C58">
        <f>COUNTIFS(Clean_Tickets!$I$2:$I$321,A58,Clean_Tickets!$Q$2:$Q$321,"Met")</f>
        <v>114</v>
      </c>
      <c r="D58">
        <f>COUNTIFS(Clean_Tickets!$I$2:$I$321,A58,Clean_Tickets!$Q$2:$Q$321,"Breached")</f>
        <v>36</v>
      </c>
      <c r="E58" s="14">
        <f>IFERROR(C58/(C58+D58),0)</f>
        <v>0.76</v>
      </c>
      <c r="F58">
        <f>COUNTIFS(Clean_Tickets!$I$2:$I$321,A58,Clean_Tickets!$R$2:$R$321,"Met")</f>
        <v>101</v>
      </c>
      <c r="G58">
        <f>COUNTIFS(Clean_Tickets!$I$2:$I$321,A58,Clean_Tickets!$R$2:$R$321,"Breached")</f>
        <v>43</v>
      </c>
      <c r="H58">
        <f>COUNTIFS(Clean_Tickets!$I$2:$I$321,A58,Clean_Tickets!$R$2:$R$321,"Pending")</f>
        <v>6</v>
      </c>
      <c r="I58" s="14">
        <f>IFERROR(F58/(F58+G58),0)</f>
        <v>0.70138888888888884</v>
      </c>
      <c r="J58" s="13">
        <f>IFERROR(SUMIF(Clean_Tickets!$I$2:$I$321,A58,Clean_Tickets!$M$2:$M$321)/COUNTIF(Clean_Tickets!$I$2:$I$321,A58),0)</f>
        <v>2.7326901463011746</v>
      </c>
      <c r="K58" s="13">
        <f>IFERROR(SUMIF(Clean_Tickets!$I$2:$I$321,A58,Clean_Tickets!$N$2:$N$321)/(COUNTIFS(Clean_Tickets!$I$2:$I$321,A58,Clean_Tickets!$E$2:$E$321,"Closed")+COUNTIFS(Clean_Tickets!$I$2:$I$321,A58,Clean_Tickets!$E$2:$E$321,"Resolved")),0)</f>
        <v>18.070343915894529</v>
      </c>
      <c r="L58" s="13">
        <f>IFERROR(SUMIF(Clean_Tickets!$I$2:$I$321,A58,Clean_Tickets!$L$2:$L$321)/COUNTIFS(Clean_Tickets!$I$2:$I$321,A58,Clean_Tickets!$L$2:$L$321,"&gt;0"),0)</f>
        <v>4.0763888888888893</v>
      </c>
      <c r="M58">
        <f>COUNTIFS(Clean_Tickets!$I$2:$I$321,A58,Clean_Tickets!$K$2:$K$321,"Yes")</f>
        <v>16</v>
      </c>
    </row>
    <row r="59" spans="1:13">
      <c r="A59" t="s">
        <v>89</v>
      </c>
      <c r="B59">
        <f>COUNTIF(Clean_Tickets!$I$2:$I$321,A59)</f>
        <v>81</v>
      </c>
      <c r="C59">
        <f>COUNTIFS(Clean_Tickets!$I$2:$I$321,A59,Clean_Tickets!$Q$2:$Q$321,"Met")</f>
        <v>60</v>
      </c>
      <c r="D59">
        <f>COUNTIFS(Clean_Tickets!$I$2:$I$321,A59,Clean_Tickets!$Q$2:$Q$321,"Breached")</f>
        <v>21</v>
      </c>
      <c r="E59" s="14">
        <f>IFERROR(C59/(C59+D59),0)</f>
        <v>0.7407407407407407</v>
      </c>
      <c r="F59">
        <f>COUNTIFS(Clean_Tickets!$I$2:$I$321,A59,Clean_Tickets!$R$2:$R$321,"Met")</f>
        <v>56</v>
      </c>
      <c r="G59">
        <f>COUNTIFS(Clean_Tickets!$I$2:$I$321,A59,Clean_Tickets!$R$2:$R$321,"Breached")</f>
        <v>20</v>
      </c>
      <c r="H59">
        <f>COUNTIFS(Clean_Tickets!$I$2:$I$321,A59,Clean_Tickets!$R$2:$R$321,"Pending")</f>
        <v>5</v>
      </c>
      <c r="I59" s="14">
        <f>IFERROR(F59/(F59+G59),0)</f>
        <v>0.73684210526315785</v>
      </c>
      <c r="J59" s="13">
        <f>IFERROR(SUMIF(Clean_Tickets!$I$2:$I$321,A59,Clean_Tickets!$M$2:$M$321)/COUNTIF(Clean_Tickets!$I$2:$I$321,A59),0)</f>
        <v>2.6436718587108232</v>
      </c>
      <c r="K59" s="13">
        <f>IFERROR(SUMIF(Clean_Tickets!$I$2:$I$321,A59,Clean_Tickets!$N$2:$N$321)/(COUNTIFS(Clean_Tickets!$I$2:$I$321,A59,Clean_Tickets!$E$2:$E$321,"Closed")+COUNTIFS(Clean_Tickets!$I$2:$I$321,A59,Clean_Tickets!$E$2:$E$321,"Resolved")),0)</f>
        <v>16.808212799719371</v>
      </c>
      <c r="L59" s="13">
        <f>IFERROR(SUMIF(Clean_Tickets!$I$2:$I$321,A59,Clean_Tickets!$L$2:$L$321)/COUNTIFS(Clean_Tickets!$I$2:$I$321,A59,Clean_Tickets!$L$2:$L$321,"&gt;0"),0)</f>
        <v>4.1184210526315788</v>
      </c>
      <c r="M59">
        <f>COUNTIFS(Clean_Tickets!$I$2:$I$321,A59,Clean_Tickets!$K$2:$K$321,"Yes")</f>
        <v>12</v>
      </c>
    </row>
    <row r="60" spans="1:13">
      <c r="A60" t="s">
        <v>67</v>
      </c>
      <c r="B60">
        <f>COUNTIF(Clean_Tickets!$I$2:$I$321,A60)</f>
        <v>45</v>
      </c>
      <c r="C60">
        <f>COUNTIFS(Clean_Tickets!$I$2:$I$321,A60,Clean_Tickets!$Q$2:$Q$321,"Met")</f>
        <v>30</v>
      </c>
      <c r="D60">
        <f>COUNTIFS(Clean_Tickets!$I$2:$I$321,A60,Clean_Tickets!$Q$2:$Q$321,"Breached")</f>
        <v>15</v>
      </c>
      <c r="E60" s="14">
        <f>IFERROR(C60/(C60+D60),0)</f>
        <v>0.66666666666666663</v>
      </c>
      <c r="F60">
        <f>COUNTIFS(Clean_Tickets!$I$2:$I$321,A60,Clean_Tickets!$R$2:$R$321,"Met")</f>
        <v>30</v>
      </c>
      <c r="G60">
        <f>COUNTIFS(Clean_Tickets!$I$2:$I$321,A60,Clean_Tickets!$R$2:$R$321,"Breached")</f>
        <v>12</v>
      </c>
      <c r="H60">
        <f>COUNTIFS(Clean_Tickets!$I$2:$I$321,A60,Clean_Tickets!$R$2:$R$321,"Pending")</f>
        <v>3</v>
      </c>
      <c r="I60" s="14">
        <f>IFERROR(F60/(F60+G60),0)</f>
        <v>0.7142857142857143</v>
      </c>
      <c r="J60" s="13">
        <f>IFERROR(SUMIF(Clean_Tickets!$I$2:$I$321,A60,Clean_Tickets!$M$2:$M$321)/COUNTIF(Clean_Tickets!$I$2:$I$321,A60),0)</f>
        <v>3.1506590617238546</v>
      </c>
      <c r="K60" s="13">
        <f>IFERROR(SUMIF(Clean_Tickets!$I$2:$I$321,A60,Clean_Tickets!$N$2:$N$321)/(COUNTIFS(Clean_Tickets!$I$2:$I$321,A60,Clean_Tickets!$E$2:$E$321,"Closed")+COUNTIFS(Clean_Tickets!$I$2:$I$321,A60,Clean_Tickets!$E$2:$E$321,"Resolved")),0)</f>
        <v>22.173515059515402</v>
      </c>
      <c r="L60" s="13">
        <f>IFERROR(SUMIF(Clean_Tickets!$I$2:$I$321,A60,Clean_Tickets!$L$2:$L$321)/COUNTIFS(Clean_Tickets!$I$2:$I$321,A60,Clean_Tickets!$L$2:$L$321,"&gt;0"),0)</f>
        <v>4.166666666666667</v>
      </c>
      <c r="M60">
        <f>COUNTIFS(Clean_Tickets!$I$2:$I$321,A60,Clean_Tickets!$K$2:$K$321,"Yes")</f>
        <v>4</v>
      </c>
    </row>
    <row r="61" spans="1:13">
      <c r="A61" t="s">
        <v>92</v>
      </c>
      <c r="B61">
        <f>COUNTIF(Clean_Tickets!$I$2:$I$321,A61)</f>
        <v>44</v>
      </c>
      <c r="C61">
        <f>COUNTIFS(Clean_Tickets!$I$2:$I$321,A61,Clean_Tickets!$Q$2:$Q$321,"Met")</f>
        <v>36</v>
      </c>
      <c r="D61">
        <f>COUNTIFS(Clean_Tickets!$I$2:$I$321,A61,Clean_Tickets!$Q$2:$Q$321,"Breached")</f>
        <v>8</v>
      </c>
      <c r="E61" s="14">
        <f>IFERROR(C61/(C61+D61),0)</f>
        <v>0.81818181818181823</v>
      </c>
      <c r="F61">
        <f>COUNTIFS(Clean_Tickets!$I$2:$I$321,A61,Clean_Tickets!$R$2:$R$321,"Met")</f>
        <v>26</v>
      </c>
      <c r="G61">
        <f>COUNTIFS(Clean_Tickets!$I$2:$I$321,A61,Clean_Tickets!$R$2:$R$321,"Breached")</f>
        <v>16</v>
      </c>
      <c r="H61">
        <f>COUNTIFS(Clean_Tickets!$I$2:$I$321,A61,Clean_Tickets!$R$2:$R$321,"Pending")</f>
        <v>2</v>
      </c>
      <c r="I61" s="14">
        <f>IFERROR(F61/(F61+G61),0)</f>
        <v>0.61904761904761907</v>
      </c>
      <c r="J61" s="13">
        <f>IFERROR(SUMIF(Clean_Tickets!$I$2:$I$321,A61,Clean_Tickets!$M$2:$M$321)/COUNTIF(Clean_Tickets!$I$2:$I$321,A61),0)</f>
        <v>1.7931190972290509</v>
      </c>
      <c r="K61" s="13">
        <f>IFERROR(SUMIF(Clean_Tickets!$I$2:$I$321,A61,Clean_Tickets!$N$2:$N$321)/(COUNTIFS(Clean_Tickets!$I$2:$I$321,A61,Clean_Tickets!$E$2:$E$321,"Closed")+COUNTIFS(Clean_Tickets!$I$2:$I$321,A61,Clean_Tickets!$E$2:$E$321,"Resolved")),0)</f>
        <v>16.528231395495823</v>
      </c>
      <c r="L61" s="13">
        <f>IFERROR(SUMIF(Clean_Tickets!$I$2:$I$321,A61,Clean_Tickets!$L$2:$L$321)/COUNTIFS(Clean_Tickets!$I$2:$I$321,A61,Clean_Tickets!$L$2:$L$321,"&gt;0"),0)</f>
        <v>4.166666666666667</v>
      </c>
      <c r="M61">
        <f>COUNTIFS(Clean_Tickets!$I$2:$I$321,A61,Clean_Tickets!$K$2:$K$321,"Yes")</f>
        <v>4</v>
      </c>
    </row>
    <row r="64" spans="1:13">
      <c r="A64" s="2" t="s">
        <v>462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8">
      <c r="A65" s="17" t="s">
        <v>448</v>
      </c>
      <c r="B65" s="17" t="s">
        <v>429</v>
      </c>
      <c r="C65" s="17" t="s">
        <v>449</v>
      </c>
      <c r="D65" s="17" t="s">
        <v>450</v>
      </c>
      <c r="E65" s="17" t="s">
        <v>451</v>
      </c>
      <c r="F65" s="17" t="s">
        <v>452</v>
      </c>
      <c r="G65" s="17" t="s">
        <v>453</v>
      </c>
      <c r="H65" s="17" t="s">
        <v>454</v>
      </c>
      <c r="I65" s="17" t="s">
        <v>455</v>
      </c>
      <c r="J65" s="17" t="s">
        <v>456</v>
      </c>
      <c r="K65" s="17" t="s">
        <v>457</v>
      </c>
      <c r="L65" s="17" t="s">
        <v>443</v>
      </c>
      <c r="M65" s="17" t="s">
        <v>57</v>
      </c>
    </row>
    <row r="66" spans="1:13">
      <c r="A66" t="s">
        <v>20</v>
      </c>
      <c r="B66">
        <f>COUNTIF(Clean_Tickets!$S$2:$S$321,A66)</f>
        <v>18</v>
      </c>
      <c r="C66">
        <f>COUNTIFS(Clean_Tickets!$S$2:$S$321,A66,Clean_Tickets!$Q$2:$Q$321,"Met")</f>
        <v>16</v>
      </c>
      <c r="D66">
        <f>COUNTIFS(Clean_Tickets!$S$2:$S$321,A66,Clean_Tickets!$Q$2:$Q$321,"Breached")</f>
        <v>2</v>
      </c>
      <c r="E66" s="14">
        <f t="shared" ref="E66:E77" si="6">IFERROR(C66/(C66+D66),0)</f>
        <v>0.88888888888888884</v>
      </c>
      <c r="F66">
        <f>COUNTIFS(Clean_Tickets!$S$2:$S$321,A66,Clean_Tickets!$R$2:$R$321,"Met")</f>
        <v>14</v>
      </c>
      <c r="G66">
        <f>COUNTIFS(Clean_Tickets!$S$2:$S$321,A66,Clean_Tickets!$R$2:$R$321,"Breached")</f>
        <v>3</v>
      </c>
      <c r="H66">
        <f>COUNTIFS(Clean_Tickets!$S$2:$S$321,A66,Clean_Tickets!$R$2:$R$321,"Pending")</f>
        <v>1</v>
      </c>
      <c r="I66" s="14">
        <f t="shared" ref="I66:I77" si="7">IFERROR(F66/(F66+G66),0)</f>
        <v>0.82352941176470584</v>
      </c>
      <c r="J66" s="13">
        <f>IFERROR(SUMIF(Clean_Tickets!$S$2:$S$321,A66,Clean_Tickets!$M$2:$M$321)/COUNTIF(Clean_Tickets!$S$2:$S$321,A66),0)</f>
        <v>1.2884181635745335</v>
      </c>
      <c r="K66" s="13">
        <f>IFERROR(SUMIF(Clean_Tickets!$S$2:$S$321,A66,Clean_Tickets!$N$2:$N$321)/(COUNTIFS(Clean_Tickets!$S$2:$S$321,A66,Clean_Tickets!$E$2:$E$321,"Closed")+COUNTIFS(Clean_Tickets!$S$2:$S$321,A66,Clean_Tickets!$E$2:$E$321,"Resolved")),0)</f>
        <v>6.6588139215737634</v>
      </c>
      <c r="L66" s="13">
        <f>IFERROR(SUMIF(Clean_Tickets!$S$2:$S$321,A66,Clean_Tickets!$L$2:$L$321)/COUNTIFS(Clean_Tickets!$S$2:$S$321,A66,Clean_Tickets!$L$2:$L$321,"&gt;0"),0)</f>
        <v>4.3529411764705879</v>
      </c>
      <c r="M66">
        <f>COUNTIFS(Clean_Tickets!$S$2:$S$321,A66,Clean_Tickets!$K$2:$K$321,"Yes")</f>
        <v>1</v>
      </c>
    </row>
    <row r="67" spans="1:13">
      <c r="A67" t="s">
        <v>29</v>
      </c>
      <c r="B67">
        <f>COUNTIF(Clean_Tickets!$S$2:$S$321,A67)</f>
        <v>26</v>
      </c>
      <c r="C67">
        <f>COUNTIFS(Clean_Tickets!$S$2:$S$321,A67,Clean_Tickets!$Q$2:$Q$321,"Met")</f>
        <v>13</v>
      </c>
      <c r="D67">
        <f>COUNTIFS(Clean_Tickets!$S$2:$S$321,A67,Clean_Tickets!$Q$2:$Q$321,"Breached")</f>
        <v>13</v>
      </c>
      <c r="E67" s="14">
        <f t="shared" si="6"/>
        <v>0.5</v>
      </c>
      <c r="F67">
        <f>COUNTIFS(Clean_Tickets!$S$2:$S$321,A67,Clean_Tickets!$R$2:$R$321,"Met")</f>
        <v>9</v>
      </c>
      <c r="G67">
        <f>COUNTIFS(Clean_Tickets!$S$2:$S$321,A67,Clean_Tickets!$R$2:$R$321,"Breached")</f>
        <v>15</v>
      </c>
      <c r="H67">
        <f>COUNTIFS(Clean_Tickets!$S$2:$S$321,A67,Clean_Tickets!$R$2:$R$321,"Pending")</f>
        <v>2</v>
      </c>
      <c r="I67" s="14">
        <f t="shared" si="7"/>
        <v>0.375</v>
      </c>
      <c r="J67" s="13">
        <f>IFERROR(SUMIF(Clean_Tickets!$S$2:$S$321,A67,Clean_Tickets!$M$2:$M$321)/COUNTIF(Clean_Tickets!$S$2:$S$321,A67),0)</f>
        <v>3.2061649786326316</v>
      </c>
      <c r="K67" s="13">
        <f>IFERROR(SUMIF(Clean_Tickets!$S$2:$S$321,A67,Clean_Tickets!$N$2:$N$321)/(COUNTIFS(Clean_Tickets!$S$2:$S$321,A67,Clean_Tickets!$E$2:$E$321,"Closed")+COUNTIFS(Clean_Tickets!$S$2:$S$321,A67,Clean_Tickets!$E$2:$E$321,"Resolved")),0)</f>
        <v>26.661049178248504</v>
      </c>
      <c r="L67" s="13">
        <f>IFERROR(SUMIF(Clean_Tickets!$S$2:$S$321,A67,Clean_Tickets!$L$2:$L$321)/COUNTIFS(Clean_Tickets!$S$2:$S$321,A67,Clean_Tickets!$L$2:$L$321,"&gt;0"),0)</f>
        <v>3.875</v>
      </c>
      <c r="M67">
        <f>COUNTIFS(Clean_Tickets!$S$2:$S$321,A67,Clean_Tickets!$K$2:$K$321,"Yes")</f>
        <v>5</v>
      </c>
    </row>
    <row r="68" spans="1:13">
      <c r="A68" t="s">
        <v>35</v>
      </c>
      <c r="B68">
        <f>COUNTIF(Clean_Tickets!$S$2:$S$321,A68)</f>
        <v>24</v>
      </c>
      <c r="C68">
        <f>COUNTIFS(Clean_Tickets!$S$2:$S$321,A68,Clean_Tickets!$Q$2:$Q$321,"Met")</f>
        <v>21</v>
      </c>
      <c r="D68">
        <f>COUNTIFS(Clean_Tickets!$S$2:$S$321,A68,Clean_Tickets!$Q$2:$Q$321,"Breached")</f>
        <v>3</v>
      </c>
      <c r="E68" s="14">
        <f t="shared" si="6"/>
        <v>0.875</v>
      </c>
      <c r="F68">
        <f>COUNTIFS(Clean_Tickets!$S$2:$S$321,A68,Clean_Tickets!$R$2:$R$321,"Met")</f>
        <v>16</v>
      </c>
      <c r="G68">
        <f>COUNTIFS(Clean_Tickets!$S$2:$S$321,A68,Clean_Tickets!$R$2:$R$321,"Breached")</f>
        <v>7</v>
      </c>
      <c r="H68">
        <f>COUNTIFS(Clean_Tickets!$S$2:$S$321,A68,Clean_Tickets!$R$2:$R$321,"Pending")</f>
        <v>1</v>
      </c>
      <c r="I68" s="14">
        <f t="shared" si="7"/>
        <v>0.69565217391304346</v>
      </c>
      <c r="J68" s="13">
        <f>IFERROR(SUMIF(Clean_Tickets!$S$2:$S$321,A68,Clean_Tickets!$M$2:$M$321)/COUNTIF(Clean_Tickets!$S$2:$S$321,A68),0)</f>
        <v>1.1541138888933347</v>
      </c>
      <c r="K68" s="13">
        <f>IFERROR(SUMIF(Clean_Tickets!$S$2:$S$321,A68,Clean_Tickets!$N$2:$N$321)/(COUNTIFS(Clean_Tickets!$S$2:$S$321,A68,Clean_Tickets!$E$2:$E$321,"Closed")+COUNTIFS(Clean_Tickets!$S$2:$S$321,A68,Clean_Tickets!$E$2:$E$321,"Resolved")),0)</f>
        <v>13.746032669082405</v>
      </c>
      <c r="L68" s="13">
        <f>IFERROR(SUMIF(Clean_Tickets!$S$2:$S$321,A68,Clean_Tickets!$L$2:$L$321)/COUNTIFS(Clean_Tickets!$S$2:$S$321,A68,Clean_Tickets!$L$2:$L$321,"&gt;0"),0)</f>
        <v>4.2608695652173916</v>
      </c>
      <c r="M68">
        <f>COUNTIFS(Clean_Tickets!$S$2:$S$321,A68,Clean_Tickets!$K$2:$K$321,"Yes")</f>
        <v>3</v>
      </c>
    </row>
    <row r="69" spans="1:13">
      <c r="A69" t="s">
        <v>38</v>
      </c>
      <c r="B69">
        <f>COUNTIF(Clean_Tickets!$S$2:$S$321,A69)</f>
        <v>46</v>
      </c>
      <c r="C69">
        <f>COUNTIFS(Clean_Tickets!$S$2:$S$321,A69,Clean_Tickets!$Q$2:$Q$321,"Met")</f>
        <v>28</v>
      </c>
      <c r="D69">
        <f>COUNTIFS(Clean_Tickets!$S$2:$S$321,A69,Clean_Tickets!$Q$2:$Q$321,"Breached")</f>
        <v>18</v>
      </c>
      <c r="E69" s="14">
        <f t="shared" si="6"/>
        <v>0.60869565217391308</v>
      </c>
      <c r="F69">
        <f>COUNTIFS(Clean_Tickets!$S$2:$S$321,A69,Clean_Tickets!$R$2:$R$321,"Met")</f>
        <v>31</v>
      </c>
      <c r="G69">
        <f>COUNTIFS(Clean_Tickets!$S$2:$S$321,A69,Clean_Tickets!$R$2:$R$321,"Breached")</f>
        <v>12</v>
      </c>
      <c r="H69">
        <f>COUNTIFS(Clean_Tickets!$S$2:$S$321,A69,Clean_Tickets!$R$2:$R$321,"Pending")</f>
        <v>3</v>
      </c>
      <c r="I69" s="14">
        <f t="shared" si="7"/>
        <v>0.72093023255813948</v>
      </c>
      <c r="J69" s="13">
        <f>IFERROR(SUMIF(Clean_Tickets!$S$2:$S$321,A69,Clean_Tickets!$M$2:$M$321)/COUNTIF(Clean_Tickets!$S$2:$S$321,A69),0)</f>
        <v>4.1115131884162901</v>
      </c>
      <c r="K69" s="13">
        <f>IFERROR(SUMIF(Clean_Tickets!$S$2:$S$321,A69,Clean_Tickets!$N$2:$N$321)/(COUNTIFS(Clean_Tickets!$S$2:$S$321,A69,Clean_Tickets!$E$2:$E$321,"Closed")+COUNTIFS(Clean_Tickets!$S$2:$S$321,A69,Clean_Tickets!$E$2:$E$321,"Resolved")),0)</f>
        <v>28.130902131770327</v>
      </c>
      <c r="L69" s="13">
        <f>IFERROR(SUMIF(Clean_Tickets!$S$2:$S$321,A69,Clean_Tickets!$L$2:$L$321)/COUNTIFS(Clean_Tickets!$S$2:$S$321,A69,Clean_Tickets!$L$2:$L$321,"&gt;0"),0)</f>
        <v>4.1627906976744189</v>
      </c>
      <c r="M69">
        <f>COUNTIFS(Clean_Tickets!$S$2:$S$321,A69,Clean_Tickets!$K$2:$K$321,"Yes")</f>
        <v>4</v>
      </c>
    </row>
    <row r="70" spans="1:13">
      <c r="A70" t="s">
        <v>17</v>
      </c>
      <c r="B70">
        <f>COUNTIF(Clean_Tickets!$S$2:$S$321,A70)</f>
        <v>36</v>
      </c>
      <c r="C70">
        <f>COUNTIFS(Clean_Tickets!$S$2:$S$321,A70,Clean_Tickets!$Q$2:$Q$321,"Met")</f>
        <v>29</v>
      </c>
      <c r="D70">
        <f>COUNTIFS(Clean_Tickets!$S$2:$S$321,A70,Clean_Tickets!$Q$2:$Q$321,"Breached")</f>
        <v>7</v>
      </c>
      <c r="E70" s="14">
        <f t="shared" si="6"/>
        <v>0.80555555555555558</v>
      </c>
      <c r="F70">
        <f>COUNTIFS(Clean_Tickets!$S$2:$S$321,A70,Clean_Tickets!$R$2:$R$321,"Met")</f>
        <v>22</v>
      </c>
      <c r="G70">
        <f>COUNTIFS(Clean_Tickets!$S$2:$S$321,A70,Clean_Tickets!$R$2:$R$321,"Breached")</f>
        <v>12</v>
      </c>
      <c r="H70">
        <f>COUNTIFS(Clean_Tickets!$S$2:$S$321,A70,Clean_Tickets!$R$2:$R$321,"Pending")</f>
        <v>2</v>
      </c>
      <c r="I70" s="14">
        <f t="shared" si="7"/>
        <v>0.6470588235294118</v>
      </c>
      <c r="J70" s="13">
        <f>IFERROR(SUMIF(Clean_Tickets!$S$2:$S$321,A70,Clean_Tickets!$M$2:$M$321)/COUNTIF(Clean_Tickets!$S$2:$S$321,A70),0)</f>
        <v>3.8954791898286203</v>
      </c>
      <c r="K70" s="13">
        <f>IFERROR(SUMIF(Clean_Tickets!$S$2:$S$321,A70,Clean_Tickets!$N$2:$N$321)/(COUNTIFS(Clean_Tickets!$S$2:$S$321,A70,Clean_Tickets!$E$2:$E$321,"Closed")+COUNTIFS(Clean_Tickets!$S$2:$S$321,A70,Clean_Tickets!$E$2:$E$321,"Resolved")),0)</f>
        <v>24.591879052298335</v>
      </c>
      <c r="L70" s="13">
        <f>IFERROR(SUMIF(Clean_Tickets!$S$2:$S$321,A70,Clean_Tickets!$L$2:$L$321)/COUNTIFS(Clean_Tickets!$S$2:$S$321,A70,Clean_Tickets!$L$2:$L$321,"&gt;0"),0)</f>
        <v>4.2352941176470589</v>
      </c>
      <c r="M70">
        <f>COUNTIFS(Clean_Tickets!$S$2:$S$321,A70,Clean_Tickets!$K$2:$K$321,"Yes")</f>
        <v>4</v>
      </c>
    </row>
    <row r="71" spans="1:13">
      <c r="A71" t="s">
        <v>32</v>
      </c>
      <c r="B71">
        <f>COUNTIF(Clean_Tickets!$S$2:$S$321,A71)</f>
        <v>25</v>
      </c>
      <c r="C71">
        <f>COUNTIFS(Clean_Tickets!$S$2:$S$321,A71,Clean_Tickets!$Q$2:$Q$321,"Met")</f>
        <v>17</v>
      </c>
      <c r="D71">
        <f>COUNTIFS(Clean_Tickets!$S$2:$S$321,A71,Clean_Tickets!$Q$2:$Q$321,"Breached")</f>
        <v>8</v>
      </c>
      <c r="E71" s="14">
        <f t="shared" si="6"/>
        <v>0.68</v>
      </c>
      <c r="F71">
        <f>COUNTIFS(Clean_Tickets!$S$2:$S$321,A71,Clean_Tickets!$R$2:$R$321,"Met")</f>
        <v>16</v>
      </c>
      <c r="G71">
        <f>COUNTIFS(Clean_Tickets!$S$2:$S$321,A71,Clean_Tickets!$R$2:$R$321,"Breached")</f>
        <v>8</v>
      </c>
      <c r="H71">
        <f>COUNTIFS(Clean_Tickets!$S$2:$S$321,A71,Clean_Tickets!$R$2:$R$321,"Pending")</f>
        <v>1</v>
      </c>
      <c r="I71" s="14">
        <f t="shared" si="7"/>
        <v>0.66666666666666663</v>
      </c>
      <c r="J71" s="13">
        <f>IFERROR(SUMIF(Clean_Tickets!$S$2:$S$321,A71,Clean_Tickets!$M$2:$M$321)/COUNTIF(Clean_Tickets!$S$2:$S$321,A71),0)</f>
        <v>2.2742516888771207</v>
      </c>
      <c r="K71" s="13">
        <f>IFERROR(SUMIF(Clean_Tickets!$S$2:$S$321,A71,Clean_Tickets!$N$2:$N$321)/(COUNTIFS(Clean_Tickets!$S$2:$S$321,A71,Clean_Tickets!$E$2:$E$321,"Closed")+COUNTIFS(Clean_Tickets!$S$2:$S$321,A71,Clean_Tickets!$E$2:$E$321,"Resolved")),0)</f>
        <v>13.190369259267754</v>
      </c>
      <c r="L71" s="13">
        <f>IFERROR(SUMIF(Clean_Tickets!$S$2:$S$321,A71,Clean_Tickets!$L$2:$L$321)/COUNTIFS(Clean_Tickets!$S$2:$S$321,A71,Clean_Tickets!$L$2:$L$321,"&gt;0"),0)</f>
        <v>4</v>
      </c>
      <c r="M71">
        <f>COUNTIFS(Clean_Tickets!$S$2:$S$321,A71,Clean_Tickets!$K$2:$K$321,"Yes")</f>
        <v>3</v>
      </c>
    </row>
    <row r="72" spans="1:13">
      <c r="A72" t="s">
        <v>24</v>
      </c>
      <c r="B72">
        <f>COUNTIF(Clean_Tickets!$S$2:$S$321,A72)</f>
        <v>20</v>
      </c>
      <c r="C72">
        <f>COUNTIFS(Clean_Tickets!$S$2:$S$321,A72,Clean_Tickets!$Q$2:$Q$321,"Met")</f>
        <v>17</v>
      </c>
      <c r="D72">
        <f>COUNTIFS(Clean_Tickets!$S$2:$S$321,A72,Clean_Tickets!$Q$2:$Q$321,"Breached")</f>
        <v>3</v>
      </c>
      <c r="E72" s="14">
        <f t="shared" si="6"/>
        <v>0.85</v>
      </c>
      <c r="F72">
        <f>COUNTIFS(Clean_Tickets!$S$2:$S$321,A72,Clean_Tickets!$R$2:$R$321,"Met")</f>
        <v>20</v>
      </c>
      <c r="G72">
        <f>COUNTIFS(Clean_Tickets!$S$2:$S$321,A72,Clean_Tickets!$R$2:$R$321,"Breached")</f>
        <v>0</v>
      </c>
      <c r="H72">
        <f>COUNTIFS(Clean_Tickets!$S$2:$S$321,A72,Clean_Tickets!$R$2:$R$321,"Pending")</f>
        <v>0</v>
      </c>
      <c r="I72" s="14">
        <f t="shared" si="7"/>
        <v>1</v>
      </c>
      <c r="J72" s="13">
        <f>IFERROR(SUMIF(Clean_Tickets!$S$2:$S$321,A72,Clean_Tickets!$M$2:$M$321)/COUNTIF(Clean_Tickets!$S$2:$S$321,A72),0)</f>
        <v>0.72109723612375087</v>
      </c>
      <c r="K72" s="13">
        <f>IFERROR(SUMIF(Clean_Tickets!$S$2:$S$321,A72,Clean_Tickets!$N$2:$N$321)/(COUNTIFS(Clean_Tickets!$S$2:$S$321,A72,Clean_Tickets!$E$2:$E$321,"Closed")+COUNTIFS(Clean_Tickets!$S$2:$S$321,A72,Clean_Tickets!$E$2:$E$321,"Resolved")),0)</f>
        <v>3.990269194438588</v>
      </c>
      <c r="L72" s="13">
        <f>IFERROR(SUMIF(Clean_Tickets!$S$2:$S$321,A72,Clean_Tickets!$L$2:$L$321)/COUNTIFS(Clean_Tickets!$S$2:$S$321,A72,Clean_Tickets!$L$2:$L$321,"&gt;0"),0)</f>
        <v>4.0999999999999996</v>
      </c>
      <c r="M72">
        <f>COUNTIFS(Clean_Tickets!$S$2:$S$321,A72,Clean_Tickets!$K$2:$K$321,"Yes")</f>
        <v>4</v>
      </c>
    </row>
    <row r="73" spans="1:13">
      <c r="A73" t="s">
        <v>13</v>
      </c>
      <c r="B73">
        <f>COUNTIF(Clean_Tickets!$S$2:$S$321,A73)</f>
        <v>36</v>
      </c>
      <c r="C73">
        <f>COUNTIFS(Clean_Tickets!$S$2:$S$321,A73,Clean_Tickets!$Q$2:$Q$321,"Met")</f>
        <v>31</v>
      </c>
      <c r="D73">
        <f>COUNTIFS(Clean_Tickets!$S$2:$S$321,A73,Clean_Tickets!$Q$2:$Q$321,"Breached")</f>
        <v>5</v>
      </c>
      <c r="E73" s="14">
        <f t="shared" si="6"/>
        <v>0.86111111111111116</v>
      </c>
      <c r="F73">
        <f>COUNTIFS(Clean_Tickets!$S$2:$S$321,A73,Clean_Tickets!$R$2:$R$321,"Met")</f>
        <v>27</v>
      </c>
      <c r="G73">
        <f>COUNTIFS(Clean_Tickets!$S$2:$S$321,A73,Clean_Tickets!$R$2:$R$321,"Breached")</f>
        <v>6</v>
      </c>
      <c r="H73">
        <f>COUNTIFS(Clean_Tickets!$S$2:$S$321,A73,Clean_Tickets!$R$2:$R$321,"Pending")</f>
        <v>3</v>
      </c>
      <c r="I73" s="14">
        <f t="shared" si="7"/>
        <v>0.81818181818181823</v>
      </c>
      <c r="J73" s="13">
        <f>IFERROR(SUMIF(Clean_Tickets!$S$2:$S$321,A73,Clean_Tickets!$M$2:$M$321)/COUNTIF(Clean_Tickets!$S$2:$S$321,A73),0)</f>
        <v>3.1891997839459996</v>
      </c>
      <c r="K73" s="13">
        <f>IFERROR(SUMIF(Clean_Tickets!$S$2:$S$321,A73,Clean_Tickets!$N$2:$N$321)/(COUNTIFS(Clean_Tickets!$S$2:$S$321,A73,Clean_Tickets!$E$2:$E$321,"Closed")+COUNTIFS(Clean_Tickets!$S$2:$S$321,A73,Clean_Tickets!$E$2:$E$321,"Resolved")),0)</f>
        <v>19.834066767674152</v>
      </c>
      <c r="L73" s="13">
        <f>IFERROR(SUMIF(Clean_Tickets!$S$2:$S$321,A73,Clean_Tickets!$L$2:$L$321)/COUNTIFS(Clean_Tickets!$S$2:$S$321,A73,Clean_Tickets!$L$2:$L$321,"&gt;0"),0)</f>
        <v>4.0909090909090908</v>
      </c>
      <c r="M73">
        <f>COUNTIFS(Clean_Tickets!$S$2:$S$321,A73,Clean_Tickets!$K$2:$K$321,"Yes")</f>
        <v>4</v>
      </c>
    </row>
    <row r="74" spans="1:13">
      <c r="A74" t="s">
        <v>41</v>
      </c>
      <c r="B74">
        <f>COUNTIF(Clean_Tickets!$S$2:$S$321,A74)</f>
        <v>23</v>
      </c>
      <c r="C74">
        <f>COUNTIFS(Clean_Tickets!$S$2:$S$321,A74,Clean_Tickets!$Q$2:$Q$321,"Met")</f>
        <v>17</v>
      </c>
      <c r="D74">
        <f>COUNTIFS(Clean_Tickets!$S$2:$S$321,A74,Clean_Tickets!$Q$2:$Q$321,"Breached")</f>
        <v>6</v>
      </c>
      <c r="E74" s="14">
        <f t="shared" si="6"/>
        <v>0.73913043478260865</v>
      </c>
      <c r="F74">
        <f>COUNTIFS(Clean_Tickets!$S$2:$S$321,A74,Clean_Tickets!$R$2:$R$321,"Met")</f>
        <v>15</v>
      </c>
      <c r="G74">
        <f>COUNTIFS(Clean_Tickets!$S$2:$S$321,A74,Clean_Tickets!$R$2:$R$321,"Breached")</f>
        <v>6</v>
      </c>
      <c r="H74">
        <f>COUNTIFS(Clean_Tickets!$S$2:$S$321,A74,Clean_Tickets!$R$2:$R$321,"Pending")</f>
        <v>2</v>
      </c>
      <c r="I74" s="14">
        <f t="shared" si="7"/>
        <v>0.7142857142857143</v>
      </c>
      <c r="J74" s="13">
        <f>IFERROR(SUMIF(Clean_Tickets!$S$2:$S$321,A74,Clean_Tickets!$M$2:$M$321)/COUNTIF(Clean_Tickets!$S$2:$S$321,A74),0)</f>
        <v>3.575025917891332</v>
      </c>
      <c r="K74" s="13">
        <f>IFERROR(SUMIF(Clean_Tickets!$S$2:$S$321,A74,Clean_Tickets!$N$2:$N$321)/(COUNTIFS(Clean_Tickets!$S$2:$S$321,A74,Clean_Tickets!$E$2:$E$321,"Closed")+COUNTIFS(Clean_Tickets!$S$2:$S$321,A74,Clean_Tickets!$E$2:$E$321,"Resolved")),0)</f>
        <v>18.851293849234935</v>
      </c>
      <c r="L74" s="13">
        <f>IFERROR(SUMIF(Clean_Tickets!$S$2:$S$321,A74,Clean_Tickets!$L$2:$L$321)/COUNTIFS(Clean_Tickets!$S$2:$S$321,A74,Clean_Tickets!$L$2:$L$321,"&gt;0"),0)</f>
        <v>4.333333333333333</v>
      </c>
      <c r="M74">
        <f>COUNTIFS(Clean_Tickets!$S$2:$S$321,A74,Clean_Tickets!$K$2:$K$321,"Yes")</f>
        <v>2</v>
      </c>
    </row>
    <row r="75" spans="1:13">
      <c r="A75" t="s">
        <v>26</v>
      </c>
      <c r="B75">
        <f>COUNTIF(Clean_Tickets!$S$2:$S$321,A75)</f>
        <v>22</v>
      </c>
      <c r="C75">
        <f>COUNTIFS(Clean_Tickets!$S$2:$S$321,A75,Clean_Tickets!$Q$2:$Q$321,"Met")</f>
        <v>17</v>
      </c>
      <c r="D75">
        <f>COUNTIFS(Clean_Tickets!$S$2:$S$321,A75,Clean_Tickets!$Q$2:$Q$321,"Breached")</f>
        <v>5</v>
      </c>
      <c r="E75" s="14">
        <f t="shared" si="6"/>
        <v>0.77272727272727271</v>
      </c>
      <c r="F75">
        <f>COUNTIFS(Clean_Tickets!$S$2:$S$321,A75,Clean_Tickets!$R$2:$R$321,"Met")</f>
        <v>12</v>
      </c>
      <c r="G75">
        <f>COUNTIFS(Clean_Tickets!$S$2:$S$321,A75,Clean_Tickets!$R$2:$R$321,"Breached")</f>
        <v>10</v>
      </c>
      <c r="H75">
        <f>COUNTIFS(Clean_Tickets!$S$2:$S$321,A75,Clean_Tickets!$R$2:$R$321,"Pending")</f>
        <v>0</v>
      </c>
      <c r="I75" s="14">
        <f t="shared" si="7"/>
        <v>0.54545454545454541</v>
      </c>
      <c r="J75" s="13">
        <f>IFERROR(SUMIF(Clean_Tickets!$S$2:$S$321,A75,Clean_Tickets!$M$2:$M$321)/COUNTIF(Clean_Tickets!$S$2:$S$321,A75),0)</f>
        <v>2.3120609090705826</v>
      </c>
      <c r="K75" s="13">
        <f>IFERROR(SUMIF(Clean_Tickets!$S$2:$S$321,A75,Clean_Tickets!$N$2:$N$321)/(COUNTIFS(Clean_Tickets!$S$2:$S$321,A75,Clean_Tickets!$E$2:$E$321,"Closed")+COUNTIFS(Clean_Tickets!$S$2:$S$321,A75,Clean_Tickets!$E$2:$E$321,"Resolved")),0)</f>
        <v>18.808692840891045</v>
      </c>
      <c r="L75" s="13">
        <f>IFERROR(SUMIF(Clean_Tickets!$S$2:$S$321,A75,Clean_Tickets!$L$2:$L$321)/COUNTIFS(Clean_Tickets!$S$2:$S$321,A75,Clean_Tickets!$L$2:$L$321,"&gt;0"),0)</f>
        <v>3.9545454545454546</v>
      </c>
      <c r="M75">
        <f>COUNTIFS(Clean_Tickets!$S$2:$S$321,A75,Clean_Tickets!$K$2:$K$321,"Yes")</f>
        <v>1</v>
      </c>
    </row>
    <row r="76" spans="1:13">
      <c r="A76" t="s">
        <v>43</v>
      </c>
      <c r="B76">
        <f>COUNTIF(Clean_Tickets!$S$2:$S$321,A76)</f>
        <v>19</v>
      </c>
      <c r="C76">
        <f>COUNTIFS(Clean_Tickets!$S$2:$S$321,A76,Clean_Tickets!$Q$2:$Q$321,"Met")</f>
        <v>18</v>
      </c>
      <c r="D76">
        <f>COUNTIFS(Clean_Tickets!$S$2:$S$321,A76,Clean_Tickets!$Q$2:$Q$321,"Breached")</f>
        <v>1</v>
      </c>
      <c r="E76" s="14">
        <f t="shared" si="6"/>
        <v>0.94736842105263153</v>
      </c>
      <c r="F76">
        <f>COUNTIFS(Clean_Tickets!$S$2:$S$321,A76,Clean_Tickets!$R$2:$R$321,"Met")</f>
        <v>19</v>
      </c>
      <c r="G76">
        <f>COUNTIFS(Clean_Tickets!$S$2:$S$321,A76,Clean_Tickets!$R$2:$R$321,"Breached")</f>
        <v>0</v>
      </c>
      <c r="H76">
        <f>COUNTIFS(Clean_Tickets!$S$2:$S$321,A76,Clean_Tickets!$R$2:$R$321,"Pending")</f>
        <v>0</v>
      </c>
      <c r="I76" s="14">
        <f t="shared" si="7"/>
        <v>1</v>
      </c>
      <c r="J76" s="13">
        <f>IFERROR(SUMIF(Clean_Tickets!$S$2:$S$321,A76,Clean_Tickets!$M$2:$M$321)/COUNTIF(Clean_Tickets!$S$2:$S$321,A76),0)</f>
        <v>0.87272877194060894</v>
      </c>
      <c r="K76" s="13">
        <f>IFERROR(SUMIF(Clean_Tickets!$S$2:$S$321,A76,Clean_Tickets!$N$2:$N$321)/(COUNTIFS(Clean_Tickets!$S$2:$S$321,A76,Clean_Tickets!$E$2:$E$321,"Closed")+COUNTIFS(Clean_Tickets!$S$2:$S$321,A76,Clean_Tickets!$E$2:$E$321,"Resolved")),0)</f>
        <v>5.4453851900639405</v>
      </c>
      <c r="L76" s="13">
        <f>IFERROR(SUMIF(Clean_Tickets!$S$2:$S$321,A76,Clean_Tickets!$L$2:$L$321)/COUNTIFS(Clean_Tickets!$S$2:$S$321,A76,Clean_Tickets!$L$2:$L$321,"&gt;0"),0)</f>
        <v>4.2631578947368425</v>
      </c>
      <c r="M76">
        <f>COUNTIFS(Clean_Tickets!$S$2:$S$321,A76,Clean_Tickets!$K$2:$K$321,"Yes")</f>
        <v>2</v>
      </c>
    </row>
    <row r="77" spans="1:13">
      <c r="A77" t="s">
        <v>45</v>
      </c>
      <c r="B77">
        <f>COUNTIF(Clean_Tickets!$S$2:$S$321,A77)</f>
        <v>25</v>
      </c>
      <c r="C77">
        <f>COUNTIFS(Clean_Tickets!$S$2:$S$321,A77,Clean_Tickets!$Q$2:$Q$321,"Met")</f>
        <v>16</v>
      </c>
      <c r="D77">
        <f>COUNTIFS(Clean_Tickets!$S$2:$S$321,A77,Clean_Tickets!$Q$2:$Q$321,"Breached")</f>
        <v>9</v>
      </c>
      <c r="E77" s="14">
        <f t="shared" si="6"/>
        <v>0.64</v>
      </c>
      <c r="F77">
        <f>COUNTIFS(Clean_Tickets!$S$2:$S$321,A77,Clean_Tickets!$R$2:$R$321,"Met")</f>
        <v>12</v>
      </c>
      <c r="G77">
        <f>COUNTIFS(Clean_Tickets!$S$2:$S$321,A77,Clean_Tickets!$R$2:$R$321,"Breached")</f>
        <v>12</v>
      </c>
      <c r="H77">
        <f>COUNTIFS(Clean_Tickets!$S$2:$S$321,A77,Clean_Tickets!$R$2:$R$321,"Pending")</f>
        <v>1</v>
      </c>
      <c r="I77" s="14">
        <f t="shared" si="7"/>
        <v>0.5</v>
      </c>
      <c r="J77" s="13">
        <f>IFERROR(SUMIF(Clean_Tickets!$S$2:$S$321,A77,Clean_Tickets!$M$2:$M$321)/COUNTIF(Clean_Tickets!$S$2:$S$321,A77),0)</f>
        <v>1.8135288555524312</v>
      </c>
      <c r="K77" s="13">
        <f>IFERROR(SUMIF(Clean_Tickets!$S$2:$S$321,A77,Clean_Tickets!$N$2:$N$321)/(COUNTIFS(Clean_Tickets!$S$2:$S$321,A77,Clean_Tickets!$E$2:$E$321,"Closed")+COUNTIFS(Clean_Tickets!$S$2:$S$321,A77,Clean_Tickets!$E$2:$E$321,"Resolved")),0)</f>
        <v>17.750892442119948</v>
      </c>
      <c r="L77" s="13">
        <f>IFERROR(SUMIF(Clean_Tickets!$S$2:$S$321,A77,Clean_Tickets!$L$2:$L$321)/COUNTIFS(Clean_Tickets!$S$2:$S$321,A77,Clean_Tickets!$L$2:$L$321,"&gt;0"),0)</f>
        <v>3.75</v>
      </c>
      <c r="M77">
        <f>COUNTIFS(Clean_Tickets!$S$2:$S$321,A77,Clean_Tickets!$K$2:$K$321,"Yes")</f>
        <v>3</v>
      </c>
    </row>
    <row r="80" spans="1:13">
      <c r="A80" s="2" t="s">
        <v>463</v>
      </c>
      <c r="B80" s="2"/>
      <c r="C80" s="2"/>
      <c r="D80" s="2"/>
      <c r="E80" s="2"/>
      <c r="F80" s="2"/>
      <c r="G80" s="2"/>
      <c r="H80" s="2"/>
      <c r="I80" s="2"/>
      <c r="J80" s="2"/>
    </row>
    <row r="81" spans="1:9" ht="42">
      <c r="A81" s="17" t="s">
        <v>55</v>
      </c>
      <c r="B81" s="17" t="s">
        <v>65</v>
      </c>
      <c r="C81" s="17" t="s">
        <v>79</v>
      </c>
      <c r="D81" s="17" t="s">
        <v>94</v>
      </c>
      <c r="E81" s="17" t="s">
        <v>105</v>
      </c>
      <c r="F81" s="17" t="s">
        <v>71</v>
      </c>
      <c r="G81" s="17" t="s">
        <v>76</v>
      </c>
      <c r="H81" s="17" t="s">
        <v>83</v>
      </c>
      <c r="I81" s="17" t="s">
        <v>98</v>
      </c>
    </row>
    <row r="82" spans="1:9">
      <c r="A82" t="s">
        <v>88</v>
      </c>
      <c r="B82">
        <f>COUNTIFS(Clean_Tickets!$H$2:$H$321,$A82,Clean_Tickets!$G$2:$G$321,B$81)</f>
        <v>9</v>
      </c>
      <c r="C82">
        <f>COUNTIFS(Clean_Tickets!$H$2:$H$321,$A82,Clean_Tickets!$G$2:$G$321,C$81)</f>
        <v>7</v>
      </c>
      <c r="D82">
        <f>COUNTIFS(Clean_Tickets!$H$2:$H$321,$A82,Clean_Tickets!$G$2:$G$321,D$81)</f>
        <v>9</v>
      </c>
      <c r="E82">
        <f>COUNTIFS(Clean_Tickets!$H$2:$H$321,$A82,Clean_Tickets!$G$2:$G$321,E$81)</f>
        <v>7</v>
      </c>
      <c r="F82">
        <f>COUNTIFS(Clean_Tickets!$H$2:$H$321,$A82,Clean_Tickets!$G$2:$G$321,F$81)</f>
        <v>4</v>
      </c>
      <c r="G82">
        <f>COUNTIFS(Clean_Tickets!$H$2:$H$321,$A82,Clean_Tickets!$G$2:$G$321,G$81)</f>
        <v>6</v>
      </c>
      <c r="H82">
        <f>COUNTIFS(Clean_Tickets!$H$2:$H$321,$A82,Clean_Tickets!$G$2:$G$321,H$81)</f>
        <v>3</v>
      </c>
      <c r="I82">
        <f>COUNTIFS(Clean_Tickets!$H$2:$H$321,$A82,Clean_Tickets!$G$2:$G$321,I$81)</f>
        <v>5</v>
      </c>
    </row>
    <row r="83" spans="1:9">
      <c r="A83" t="s">
        <v>84</v>
      </c>
      <c r="B83">
        <f>COUNTIFS(Clean_Tickets!$H$2:$H$321,$A83,Clean_Tickets!$G$2:$G$321,B$81)</f>
        <v>8</v>
      </c>
      <c r="C83">
        <f>COUNTIFS(Clean_Tickets!$H$2:$H$321,$A83,Clean_Tickets!$G$2:$G$321,C$81)</f>
        <v>6</v>
      </c>
      <c r="D83">
        <f>COUNTIFS(Clean_Tickets!$H$2:$H$321,$A83,Clean_Tickets!$G$2:$G$321,D$81)</f>
        <v>7</v>
      </c>
      <c r="E83">
        <f>COUNTIFS(Clean_Tickets!$H$2:$H$321,$A83,Clean_Tickets!$G$2:$G$321,E$81)</f>
        <v>3</v>
      </c>
      <c r="F83">
        <f>COUNTIFS(Clean_Tickets!$H$2:$H$321,$A83,Clean_Tickets!$G$2:$G$321,F$81)</f>
        <v>9</v>
      </c>
      <c r="G83">
        <f>COUNTIFS(Clean_Tickets!$H$2:$H$321,$A83,Clean_Tickets!$G$2:$G$321,G$81)</f>
        <v>3</v>
      </c>
      <c r="H83">
        <f>COUNTIFS(Clean_Tickets!$H$2:$H$321,$A83,Clean_Tickets!$G$2:$G$321,H$81)</f>
        <v>6</v>
      </c>
      <c r="I83">
        <f>COUNTIFS(Clean_Tickets!$H$2:$H$321,$A83,Clean_Tickets!$G$2:$G$321,I$81)</f>
        <v>2</v>
      </c>
    </row>
    <row r="84" spans="1:9">
      <c r="A84" t="s">
        <v>77</v>
      </c>
      <c r="B84">
        <f>COUNTIFS(Clean_Tickets!$H$2:$H$321,$A84,Clean_Tickets!$G$2:$G$321,B$81)</f>
        <v>11</v>
      </c>
      <c r="C84">
        <f>COUNTIFS(Clean_Tickets!$H$2:$H$321,$A84,Clean_Tickets!$G$2:$G$321,C$81)</f>
        <v>6</v>
      </c>
      <c r="D84">
        <f>COUNTIFS(Clean_Tickets!$H$2:$H$321,$A84,Clean_Tickets!$G$2:$G$321,D$81)</f>
        <v>5</v>
      </c>
      <c r="E84">
        <f>COUNTIFS(Clean_Tickets!$H$2:$H$321,$A84,Clean_Tickets!$G$2:$G$321,E$81)</f>
        <v>5</v>
      </c>
      <c r="F84">
        <f>COUNTIFS(Clean_Tickets!$H$2:$H$321,$A84,Clean_Tickets!$G$2:$G$321,F$81)</f>
        <v>3</v>
      </c>
      <c r="G84">
        <f>COUNTIFS(Clean_Tickets!$H$2:$H$321,$A84,Clean_Tickets!$G$2:$G$321,G$81)</f>
        <v>5</v>
      </c>
      <c r="H84">
        <f>COUNTIFS(Clean_Tickets!$H$2:$H$321,$A84,Clean_Tickets!$G$2:$G$321,H$81)</f>
        <v>7</v>
      </c>
      <c r="I84">
        <f>COUNTIFS(Clean_Tickets!$H$2:$H$321,$A84,Clean_Tickets!$G$2:$G$321,I$81)</f>
        <v>1</v>
      </c>
    </row>
    <row r="85" spans="1:9">
      <c r="A85" t="s">
        <v>109</v>
      </c>
      <c r="B85">
        <f>COUNTIFS(Clean_Tickets!$H$2:$H$321,$A85,Clean_Tickets!$G$2:$G$321,B$81)</f>
        <v>5</v>
      </c>
      <c r="C85">
        <f>COUNTIFS(Clean_Tickets!$H$2:$H$321,$A85,Clean_Tickets!$G$2:$G$321,C$81)</f>
        <v>7</v>
      </c>
      <c r="D85">
        <f>COUNTIFS(Clean_Tickets!$H$2:$H$321,$A85,Clean_Tickets!$G$2:$G$321,D$81)</f>
        <v>7</v>
      </c>
      <c r="E85">
        <f>COUNTIFS(Clean_Tickets!$H$2:$H$321,$A85,Clean_Tickets!$G$2:$G$321,E$81)</f>
        <v>3</v>
      </c>
      <c r="F85">
        <f>COUNTIFS(Clean_Tickets!$H$2:$H$321,$A85,Clean_Tickets!$G$2:$G$321,F$81)</f>
        <v>7</v>
      </c>
      <c r="G85">
        <f>COUNTIFS(Clean_Tickets!$H$2:$H$321,$A85,Clean_Tickets!$G$2:$G$321,G$81)</f>
        <v>5</v>
      </c>
      <c r="H85">
        <f>COUNTIFS(Clean_Tickets!$H$2:$H$321,$A85,Clean_Tickets!$G$2:$G$321,H$81)</f>
        <v>4</v>
      </c>
      <c r="I85">
        <f>COUNTIFS(Clean_Tickets!$H$2:$H$321,$A85,Clean_Tickets!$G$2:$G$321,I$81)</f>
        <v>2</v>
      </c>
    </row>
    <row r="86" spans="1:9">
      <c r="A86" t="s">
        <v>72</v>
      </c>
      <c r="B86">
        <f>COUNTIFS(Clean_Tickets!$H$2:$H$321,$A86,Clean_Tickets!$G$2:$G$321,B$81)</f>
        <v>7</v>
      </c>
      <c r="C86">
        <f>COUNTIFS(Clean_Tickets!$H$2:$H$321,$A86,Clean_Tickets!$G$2:$G$321,C$81)</f>
        <v>6</v>
      </c>
      <c r="D86">
        <f>COUNTIFS(Clean_Tickets!$H$2:$H$321,$A86,Clean_Tickets!$G$2:$G$321,D$81)</f>
        <v>3</v>
      </c>
      <c r="E86">
        <f>COUNTIFS(Clean_Tickets!$H$2:$H$321,$A86,Clean_Tickets!$G$2:$G$321,E$81)</f>
        <v>7</v>
      </c>
      <c r="F86">
        <f>COUNTIFS(Clean_Tickets!$H$2:$H$321,$A86,Clean_Tickets!$G$2:$G$321,F$81)</f>
        <v>5</v>
      </c>
      <c r="G86">
        <f>COUNTIFS(Clean_Tickets!$H$2:$H$321,$A86,Clean_Tickets!$G$2:$G$321,G$81)</f>
        <v>3</v>
      </c>
      <c r="H86">
        <f>COUNTIFS(Clean_Tickets!$H$2:$H$321,$A86,Clean_Tickets!$G$2:$G$321,H$81)</f>
        <v>5</v>
      </c>
      <c r="I86">
        <f>COUNTIFS(Clean_Tickets!$H$2:$H$321,$A86,Clean_Tickets!$G$2:$G$321,I$81)</f>
        <v>2</v>
      </c>
    </row>
    <row r="87" spans="1:9">
      <c r="A87" t="s">
        <v>66</v>
      </c>
      <c r="B87">
        <f>COUNTIFS(Clean_Tickets!$H$2:$H$321,$A87,Clean_Tickets!$G$2:$G$321,B$81)</f>
        <v>7</v>
      </c>
      <c r="C87">
        <f>COUNTIFS(Clean_Tickets!$H$2:$H$321,$A87,Clean_Tickets!$G$2:$G$321,C$81)</f>
        <v>10</v>
      </c>
      <c r="D87">
        <f>COUNTIFS(Clean_Tickets!$H$2:$H$321,$A87,Clean_Tickets!$G$2:$G$321,D$81)</f>
        <v>7</v>
      </c>
      <c r="E87">
        <f>COUNTIFS(Clean_Tickets!$H$2:$H$321,$A87,Clean_Tickets!$G$2:$G$321,E$81)</f>
        <v>4</v>
      </c>
      <c r="F87">
        <f>COUNTIFS(Clean_Tickets!$H$2:$H$321,$A87,Clean_Tickets!$G$2:$G$321,F$81)</f>
        <v>1</v>
      </c>
      <c r="G87">
        <f>COUNTIFS(Clean_Tickets!$H$2:$H$321,$A87,Clean_Tickets!$G$2:$G$321,G$81)</f>
        <v>5</v>
      </c>
      <c r="H87">
        <f>COUNTIFS(Clean_Tickets!$H$2:$H$321,$A87,Clean_Tickets!$G$2:$G$321,H$81)</f>
        <v>3</v>
      </c>
      <c r="I87">
        <f>COUNTIFS(Clean_Tickets!$H$2:$H$321,$A87,Clean_Tickets!$G$2:$G$321,I$81)</f>
        <v>0</v>
      </c>
    </row>
    <row r="88" spans="1:9">
      <c r="A88" t="s">
        <v>80</v>
      </c>
      <c r="B88">
        <f>COUNTIFS(Clean_Tickets!$H$2:$H$321,$A88,Clean_Tickets!$G$2:$G$321,B$81)</f>
        <v>7</v>
      </c>
      <c r="C88">
        <f>COUNTIFS(Clean_Tickets!$H$2:$H$321,$A88,Clean_Tickets!$G$2:$G$321,C$81)</f>
        <v>8</v>
      </c>
      <c r="D88">
        <f>COUNTIFS(Clean_Tickets!$H$2:$H$321,$A88,Clean_Tickets!$G$2:$G$321,D$81)</f>
        <v>4</v>
      </c>
      <c r="E88">
        <f>COUNTIFS(Clean_Tickets!$H$2:$H$321,$A88,Clean_Tickets!$G$2:$G$321,E$81)</f>
        <v>5</v>
      </c>
      <c r="F88">
        <f>COUNTIFS(Clean_Tickets!$H$2:$H$321,$A88,Clean_Tickets!$G$2:$G$321,F$81)</f>
        <v>2</v>
      </c>
      <c r="G88">
        <f>COUNTIFS(Clean_Tickets!$H$2:$H$321,$A88,Clean_Tickets!$G$2:$G$321,G$81)</f>
        <v>5</v>
      </c>
      <c r="H88">
        <f>COUNTIFS(Clean_Tickets!$H$2:$H$321,$A88,Clean_Tickets!$G$2:$G$321,H$81)</f>
        <v>1</v>
      </c>
      <c r="I88">
        <f>COUNTIFS(Clean_Tickets!$H$2:$H$321,$A88,Clean_Tickets!$G$2:$G$321,I$81)</f>
        <v>5</v>
      </c>
    </row>
    <row r="89" spans="1:9">
      <c r="A89" t="s">
        <v>106</v>
      </c>
      <c r="B89">
        <f>COUNTIFS(Clean_Tickets!$H$2:$H$321,$A89,Clean_Tickets!$G$2:$G$321,B$81)</f>
        <v>3</v>
      </c>
      <c r="C89">
        <f>COUNTIFS(Clean_Tickets!$H$2:$H$321,$A89,Clean_Tickets!$G$2:$G$321,C$81)</f>
        <v>3</v>
      </c>
      <c r="D89">
        <f>COUNTIFS(Clean_Tickets!$H$2:$H$321,$A89,Clean_Tickets!$G$2:$G$321,D$81)</f>
        <v>3</v>
      </c>
      <c r="E89">
        <f>COUNTIFS(Clean_Tickets!$H$2:$H$321,$A89,Clean_Tickets!$G$2:$G$321,E$81)</f>
        <v>6</v>
      </c>
      <c r="F89">
        <f>COUNTIFS(Clean_Tickets!$H$2:$H$321,$A89,Clean_Tickets!$G$2:$G$321,F$81)</f>
        <v>5</v>
      </c>
      <c r="G89">
        <f>COUNTIFS(Clean_Tickets!$H$2:$H$321,$A89,Clean_Tickets!$G$2:$G$321,G$81)</f>
        <v>3</v>
      </c>
      <c r="H89">
        <f>COUNTIFS(Clean_Tickets!$H$2:$H$321,$A89,Clean_Tickets!$G$2:$G$321,H$81)</f>
        <v>5</v>
      </c>
      <c r="I89">
        <f>COUNTIFS(Clean_Tickets!$H$2:$H$321,$A89,Clean_Tickets!$G$2:$G$321,I$81)</f>
        <v>3</v>
      </c>
    </row>
  </sheetData>
  <conditionalFormatting sqref="A82:I89">
    <cfRule type="colorScale" priority="1">
      <colorScale>
        <cfvo type="min"/>
        <cfvo type="percentile" val="50"/>
        <cfvo type="max"/>
        <color rgb="FFFFFFFF"/>
        <color rgb="FFD9EAF7"/>
        <color rgb="FF5B9BD5"/>
      </colorScale>
    </cfRule>
  </conditionalFormatting>
  <conditionalFormatting sqref="E18:E21">
    <cfRule type="colorScale" priority="2">
      <colorScale>
        <cfvo type="min"/>
        <cfvo type="percentile" val="50"/>
        <cfvo type="max"/>
        <color rgb="FFFDE2E2"/>
        <color rgb="FFFFF4CC"/>
        <color rgb="FFDCFCE7"/>
      </colorScale>
    </cfRule>
  </conditionalFormatting>
  <conditionalFormatting sqref="I18:I21">
    <cfRule type="colorScale" priority="3">
      <colorScale>
        <cfvo type="min"/>
        <cfvo type="percentile" val="50"/>
        <cfvo type="max"/>
        <color rgb="FFFDE2E2"/>
        <color rgb="FFFFF4CC"/>
        <color rgb="FFDCFCE7"/>
      </colorScale>
    </cfRule>
  </conditionalFormatting>
  <conditionalFormatting sqref="E26:E33">
    <cfRule type="colorScale" priority="4">
      <colorScale>
        <cfvo type="min"/>
        <cfvo type="percentile" val="50"/>
        <cfvo type="max"/>
        <color rgb="FFFDE2E2"/>
        <color rgb="FFFFF4CC"/>
        <color rgb="FFDCFCE7"/>
      </colorScale>
    </cfRule>
  </conditionalFormatting>
  <conditionalFormatting sqref="I26:I33">
    <cfRule type="colorScale" priority="5">
      <colorScale>
        <cfvo type="min"/>
        <cfvo type="percentile" val="50"/>
        <cfvo type="max"/>
        <color rgb="FFFDE2E2"/>
        <color rgb="FFFFF4CC"/>
        <color rgb="FFDCFCE7"/>
      </colorScale>
    </cfRule>
  </conditionalFormatting>
  <conditionalFormatting sqref="E38:E45">
    <cfRule type="colorScale" priority="6">
      <colorScale>
        <cfvo type="min"/>
        <cfvo type="percentile" val="50"/>
        <cfvo type="max"/>
        <color rgb="FFFDE2E2"/>
        <color rgb="FFFFF4CC"/>
        <color rgb="FFDCFCE7"/>
      </colorScale>
    </cfRule>
  </conditionalFormatting>
  <conditionalFormatting sqref="I38:I45">
    <cfRule type="colorScale" priority="7">
      <colorScale>
        <cfvo type="min"/>
        <cfvo type="percentile" val="50"/>
        <cfvo type="max"/>
        <color rgb="FFFDE2E2"/>
        <color rgb="FFFFF4CC"/>
        <color rgb="FFDCFCE7"/>
      </colorScale>
    </cfRule>
  </conditionalFormatting>
  <conditionalFormatting sqref="E50:E53">
    <cfRule type="colorScale" priority="8">
      <colorScale>
        <cfvo type="min"/>
        <cfvo type="percentile" val="50"/>
        <cfvo type="max"/>
        <color rgb="FFFDE2E2"/>
        <color rgb="FFFFF4CC"/>
        <color rgb="FFDCFCE7"/>
      </colorScale>
    </cfRule>
  </conditionalFormatting>
  <conditionalFormatting sqref="I50:I53">
    <cfRule type="colorScale" priority="9">
      <colorScale>
        <cfvo type="min"/>
        <cfvo type="percentile" val="50"/>
        <cfvo type="max"/>
        <color rgb="FFFDE2E2"/>
        <color rgb="FFFFF4CC"/>
        <color rgb="FFDCFCE7"/>
      </colorScale>
    </cfRule>
  </conditionalFormatting>
  <conditionalFormatting sqref="E58:E61">
    <cfRule type="colorScale" priority="10">
      <colorScale>
        <cfvo type="min"/>
        <cfvo type="percentile" val="50"/>
        <cfvo type="max"/>
        <color rgb="FFFDE2E2"/>
        <color rgb="FFFFF4CC"/>
        <color rgb="FFDCFCE7"/>
      </colorScale>
    </cfRule>
  </conditionalFormatting>
  <conditionalFormatting sqref="I58:I61">
    <cfRule type="colorScale" priority="11">
      <colorScale>
        <cfvo type="min"/>
        <cfvo type="percentile" val="50"/>
        <cfvo type="max"/>
        <color rgb="FFFDE2E2"/>
        <color rgb="FFFFF4CC"/>
        <color rgb="FFDCFCE7"/>
      </colorScale>
    </cfRule>
  </conditionalFormatting>
  <conditionalFormatting sqref="E66:E77">
    <cfRule type="colorScale" priority="12">
      <colorScale>
        <cfvo type="min"/>
        <cfvo type="percentile" val="50"/>
        <cfvo type="max"/>
        <color rgb="FFFDE2E2"/>
        <color rgb="FFFFF4CC"/>
        <color rgb="FFDCFCE7"/>
      </colorScale>
    </cfRule>
  </conditionalFormatting>
  <conditionalFormatting sqref="I66:I77">
    <cfRule type="colorScale" priority="13">
      <colorScale>
        <cfvo type="min"/>
        <cfvo type="percentile" val="50"/>
        <cfvo type="max"/>
        <color rgb="FFFDE2E2"/>
        <color rgb="FFFFF4CC"/>
        <color rgb="FFDCFCE7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="40" zoomScaleNormal="40" workbookViewId="0">
      <selection activeCell="A3" sqref="A3"/>
    </sheetView>
  </sheetViews>
  <sheetFormatPr defaultRowHeight="14"/>
  <cols>
    <col min="1" max="1" width="42" customWidth="1"/>
    <col min="2" max="6" width="12" customWidth="1"/>
    <col min="7" max="7" width="42" customWidth="1"/>
    <col min="8" max="12" width="12" customWidth="1"/>
  </cols>
  <sheetData>
    <row r="1" spans="1:12" ht="23">
      <c r="A1" s="18"/>
      <c r="B1" s="18" t="s">
        <v>464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4.5">
      <c r="A2" s="19"/>
      <c r="B2" s="19" t="s">
        <v>465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1" t="s">
        <v>434</v>
      </c>
      <c r="B4" s="20"/>
      <c r="C4" s="21" t="s">
        <v>466</v>
      </c>
      <c r="D4" s="20"/>
      <c r="E4" s="21" t="s">
        <v>467</v>
      </c>
      <c r="F4" s="20"/>
      <c r="G4" s="21" t="s">
        <v>443</v>
      </c>
      <c r="H4" s="20"/>
      <c r="I4" s="21" t="s">
        <v>440</v>
      </c>
      <c r="J4" s="20"/>
      <c r="K4" s="21" t="s">
        <v>468</v>
      </c>
      <c r="L4" s="20"/>
    </row>
    <row r="5" spans="1:12" ht="20">
      <c r="A5" s="22">
        <f>Analysis!B4</f>
        <v>320</v>
      </c>
      <c r="B5" s="20"/>
      <c r="C5" s="23">
        <f>Analysis!B12</f>
        <v>0.75</v>
      </c>
      <c r="D5" s="20"/>
      <c r="E5" s="23">
        <f>Analysis!B13</f>
        <v>0.70065789473684215</v>
      </c>
      <c r="F5" s="20"/>
      <c r="G5" s="24">
        <f>Analysis!B11</f>
        <v>4.1118421052631575</v>
      </c>
      <c r="H5" s="20"/>
      <c r="I5" s="23">
        <f>Analysis!B8</f>
        <v>0.1125</v>
      </c>
      <c r="J5" s="20"/>
      <c r="K5" s="24">
        <f>Analysis!B10</f>
        <v>18.10864160453275</v>
      </c>
      <c r="L5" s="20"/>
    </row>
    <row r="8" spans="1:12">
      <c r="A8" s="16" t="s">
        <v>469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 ht="29.4" customHeight="1">
      <c r="A9" s="11" t="s">
        <v>470</v>
      </c>
      <c r="B9" s="11"/>
      <c r="C9" s="11"/>
      <c r="D9" s="11"/>
      <c r="E9" s="11"/>
      <c r="F9" s="11"/>
      <c r="G9" s="11" t="s">
        <v>471</v>
      </c>
      <c r="H9" s="11"/>
      <c r="I9" s="11"/>
      <c r="J9" s="11"/>
      <c r="K9" s="11"/>
      <c r="L9" s="11"/>
    </row>
    <row r="10" spans="1:12" ht="29.4" customHeight="1">
      <c r="A10" s="11" t="s">
        <v>472</v>
      </c>
      <c r="B10" s="11"/>
      <c r="C10" s="11"/>
      <c r="D10" s="11"/>
      <c r="E10" s="11"/>
      <c r="F10" s="11"/>
      <c r="G10" s="11" t="s">
        <v>473</v>
      </c>
      <c r="H10" s="11"/>
      <c r="I10" s="11"/>
      <c r="J10" s="11"/>
      <c r="K10" s="11"/>
      <c r="L10" s="11"/>
    </row>
    <row r="11" spans="1:12" ht="29.4" customHeight="1">
      <c r="A11" s="11" t="s">
        <v>474</v>
      </c>
      <c r="B11" s="11"/>
      <c r="C11" s="11"/>
      <c r="D11" s="11"/>
      <c r="E11" s="11"/>
      <c r="F11" s="11"/>
      <c r="G11" s="11" t="s">
        <v>475</v>
      </c>
      <c r="H11" s="11"/>
      <c r="I11" s="11"/>
      <c r="J11" s="11"/>
      <c r="K11" s="11"/>
      <c r="L11" s="11"/>
    </row>
    <row r="12" spans="1: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4"/>
  <cols>
    <col min="1" max="1" width="16" customWidth="1"/>
    <col min="2" max="2" width="34" customWidth="1"/>
    <col min="3" max="3" width="30" customWidth="1"/>
    <col min="4" max="4" width="34" customWidth="1"/>
    <col min="5" max="5" width="38" customWidth="1"/>
    <col min="6" max="6" width="34" customWidth="1"/>
  </cols>
  <sheetData>
    <row r="1" spans="1:6" ht="20">
      <c r="A1" s="12" t="s">
        <v>476</v>
      </c>
      <c r="B1" s="12"/>
      <c r="C1" s="12"/>
      <c r="D1" s="12"/>
      <c r="E1" s="12"/>
      <c r="F1" s="12"/>
    </row>
    <row r="3" spans="1:6">
      <c r="A3" s="6" t="s">
        <v>477</v>
      </c>
      <c r="B3" s="6" t="s">
        <v>478</v>
      </c>
      <c r="C3" s="6" t="s">
        <v>479</v>
      </c>
      <c r="D3" s="6" t="s">
        <v>480</v>
      </c>
      <c r="E3" s="6" t="s">
        <v>481</v>
      </c>
      <c r="F3" s="6" t="s">
        <v>482</v>
      </c>
    </row>
    <row r="4" spans="1:6" ht="42">
      <c r="A4" s="11" t="s">
        <v>483</v>
      </c>
      <c r="B4" s="11" t="s">
        <v>484</v>
      </c>
      <c r="C4" s="11" t="s">
        <v>485</v>
      </c>
      <c r="D4" s="11" t="s">
        <v>486</v>
      </c>
      <c r="E4" s="11" t="s">
        <v>487</v>
      </c>
      <c r="F4" s="11" t="s">
        <v>488</v>
      </c>
    </row>
    <row r="5" spans="1:6" ht="42">
      <c r="A5" s="11" t="s">
        <v>489</v>
      </c>
      <c r="B5" s="11" t="s">
        <v>490</v>
      </c>
      <c r="C5" s="11" t="s">
        <v>491</v>
      </c>
      <c r="D5" s="11" t="s">
        <v>492</v>
      </c>
      <c r="E5" s="11" t="s">
        <v>493</v>
      </c>
      <c r="F5" s="11" t="s">
        <v>494</v>
      </c>
    </row>
    <row r="6" spans="1:6" ht="28">
      <c r="A6" s="11" t="s">
        <v>495</v>
      </c>
      <c r="B6" s="11" t="s">
        <v>496</v>
      </c>
      <c r="C6" s="11" t="s">
        <v>497</v>
      </c>
      <c r="D6" s="11" t="s">
        <v>498</v>
      </c>
      <c r="E6" s="11" t="s">
        <v>499</v>
      </c>
      <c r="F6" s="11" t="s">
        <v>500</v>
      </c>
    </row>
    <row r="7" spans="1:6" ht="42">
      <c r="A7" s="11" t="s">
        <v>501</v>
      </c>
      <c r="B7" s="11" t="s">
        <v>502</v>
      </c>
      <c r="C7" s="11" t="s">
        <v>503</v>
      </c>
      <c r="D7" s="11" t="s">
        <v>504</v>
      </c>
      <c r="E7" s="11" t="s">
        <v>505</v>
      </c>
      <c r="F7" s="11" t="s">
        <v>506</v>
      </c>
    </row>
    <row r="8" spans="1:6" ht="42">
      <c r="A8" s="11" t="s">
        <v>55</v>
      </c>
      <c r="B8" s="11" t="s">
        <v>507</v>
      </c>
      <c r="C8" s="11" t="s">
        <v>508</v>
      </c>
      <c r="D8" s="11" t="s">
        <v>509</v>
      </c>
      <c r="E8" s="11" t="s">
        <v>510</v>
      </c>
      <c r="F8" s="11" t="s">
        <v>511</v>
      </c>
    </row>
    <row r="9" spans="1:6" ht="28">
      <c r="A9" s="11" t="s">
        <v>512</v>
      </c>
      <c r="B9" s="11" t="s">
        <v>513</v>
      </c>
      <c r="C9" s="11" t="s">
        <v>514</v>
      </c>
      <c r="D9" s="11" t="s">
        <v>515</v>
      </c>
      <c r="E9" s="11" t="s">
        <v>516</v>
      </c>
      <c r="F9" s="11" t="s">
        <v>517</v>
      </c>
    </row>
    <row r="10" spans="1:6" ht="28">
      <c r="A10" s="11" t="s">
        <v>518</v>
      </c>
      <c r="B10" s="11" t="s">
        <v>519</v>
      </c>
      <c r="C10" s="11" t="s">
        <v>520</v>
      </c>
      <c r="D10" s="11" t="s">
        <v>521</v>
      </c>
      <c r="E10" s="11" t="s">
        <v>522</v>
      </c>
      <c r="F10" s="11" t="s">
        <v>523</v>
      </c>
    </row>
    <row r="11" spans="1:6">
      <c r="A11" s="11"/>
      <c r="B11" s="11"/>
      <c r="C11" s="11"/>
      <c r="D11" s="11"/>
      <c r="E11" s="11"/>
      <c r="F1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SLA_Targets</vt:lpstr>
      <vt:lpstr>Agent_Master</vt:lpstr>
      <vt:lpstr>Raw_Data</vt:lpstr>
      <vt:lpstr>Clean_Tickets</vt:lpstr>
      <vt:lpstr>Project_Brief</vt:lpstr>
      <vt:lpstr>Analysis</vt:lpstr>
      <vt:lpstr>Dashboard</vt:lpstr>
      <vt:lpstr>Findings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Bhadviya</dc:creator>
  <cp:lastModifiedBy>lenovo</cp:lastModifiedBy>
  <dcterms:created xsi:type="dcterms:W3CDTF">2026-09-27T18:50:44Z</dcterms:created>
  <dcterms:modified xsi:type="dcterms:W3CDTF">2026-09-27T18:50:44Z</dcterms:modified>
</cp:coreProperties>
</file>